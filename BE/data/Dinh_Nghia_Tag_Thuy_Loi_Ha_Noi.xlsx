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DV\Downloads\"/>
    </mc:Choice>
  </mc:AlternateContent>
  <xr:revisionPtr revIDLastSave="0" documentId="13_ncr:1_{F99DD47E-C2FA-488F-A9A8-2AE17CD514E2}" xr6:coauthVersionLast="47" xr6:coauthVersionMax="47" xr10:uidLastSave="{00000000-0000-0000-0000-000000000000}"/>
  <bookViews>
    <workbookView xWindow="28680" yWindow="-120" windowWidth="29040" windowHeight="15840" xr2:uid="{84F056D9-58C7-49E8-94CE-FDB74025A672}"/>
  </bookViews>
  <sheets>
    <sheet name="Danh Sách Thiết bị" sheetId="5" r:id="rId1"/>
    <sheet name="Sơ Đồ Công Nghệ" sheetId="4" r:id="rId2"/>
    <sheet name="Sơ đồ Nguyên lý" sheetId="3" r:id="rId3"/>
    <sheet name="Trạm Bơm Ấp Bắc" sheetId="1" r:id="rId4"/>
    <sheet name="Trung tâm" sheetId="2" r:id="rId5"/>
  </sheets>
  <definedNames>
    <definedName name="_xlnm._FilterDatabase" localSheetId="0" hidden="1">'Danh Sách Thiết bị'!$A$2:$L$716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29" i="5" l="1"/>
  <c r="K629" i="5"/>
  <c r="L628" i="5"/>
  <c r="K628" i="5"/>
  <c r="L627" i="5"/>
  <c r="K627" i="5"/>
  <c r="L621" i="5"/>
  <c r="K621" i="5"/>
  <c r="L620" i="5"/>
  <c r="K620" i="5"/>
  <c r="L619" i="5"/>
  <c r="K619" i="5"/>
  <c r="L631" i="5"/>
  <c r="K631" i="5"/>
  <c r="L630" i="5"/>
  <c r="K630" i="5"/>
  <c r="L623" i="5"/>
  <c r="K623" i="5"/>
  <c r="L622" i="5"/>
  <c r="K622" i="5"/>
  <c r="L578" i="5"/>
  <c r="K578" i="5"/>
  <c r="L577" i="5"/>
  <c r="K577" i="5"/>
  <c r="L520" i="5"/>
  <c r="K520" i="5"/>
  <c r="L462" i="5"/>
  <c r="K462" i="5"/>
  <c r="L404" i="5"/>
  <c r="K404" i="5"/>
  <c r="L346" i="5"/>
  <c r="K346" i="5"/>
  <c r="L288" i="5"/>
  <c r="K288" i="5"/>
  <c r="L230" i="5"/>
  <c r="K230" i="5"/>
  <c r="L519" i="5"/>
  <c r="K519" i="5"/>
  <c r="L461" i="5"/>
  <c r="K461" i="5"/>
  <c r="L403" i="5"/>
  <c r="K403" i="5"/>
  <c r="L345" i="5"/>
  <c r="K345" i="5"/>
  <c r="L287" i="5"/>
  <c r="K287" i="5"/>
  <c r="L229" i="5"/>
  <c r="K229" i="5"/>
  <c r="L172" i="5"/>
  <c r="K172" i="5"/>
  <c r="L171" i="5"/>
  <c r="K171" i="5"/>
  <c r="L114" i="5"/>
  <c r="K114" i="5"/>
  <c r="L113" i="5"/>
  <c r="K113" i="5"/>
  <c r="K173" i="5"/>
  <c r="L173" i="5"/>
  <c r="K115" i="5"/>
  <c r="L115" i="5"/>
  <c r="K231" i="5"/>
  <c r="L231" i="5"/>
  <c r="K289" i="5"/>
  <c r="L289" i="5"/>
  <c r="L56" i="5"/>
  <c r="K56" i="5"/>
  <c r="L55" i="5"/>
  <c r="K55" i="5"/>
  <c r="L128" i="5"/>
  <c r="K128" i="5"/>
  <c r="L716" i="5"/>
  <c r="K716" i="5"/>
  <c r="L715" i="5"/>
  <c r="K715" i="5"/>
  <c r="L714" i="5"/>
  <c r="K714" i="5"/>
  <c r="L713" i="5"/>
  <c r="K713" i="5"/>
  <c r="L712" i="5"/>
  <c r="K712" i="5"/>
  <c r="L711" i="5"/>
  <c r="K711" i="5"/>
  <c r="L710" i="5"/>
  <c r="K710" i="5"/>
  <c r="L709" i="5"/>
  <c r="K709" i="5"/>
  <c r="L708" i="5"/>
  <c r="K708" i="5"/>
  <c r="L707" i="5"/>
  <c r="K707" i="5"/>
  <c r="L706" i="5"/>
  <c r="K706" i="5"/>
  <c r="L705" i="5"/>
  <c r="K705" i="5"/>
  <c r="L704" i="5"/>
  <c r="K704" i="5"/>
  <c r="L703" i="5"/>
  <c r="K703" i="5"/>
  <c r="L702" i="5"/>
  <c r="K702" i="5"/>
  <c r="L701" i="5"/>
  <c r="K701" i="5"/>
  <c r="L700" i="5"/>
  <c r="K700" i="5"/>
  <c r="L699" i="5"/>
  <c r="K699" i="5"/>
  <c r="L698" i="5"/>
  <c r="K698" i="5"/>
  <c r="L697" i="5"/>
  <c r="K697" i="5"/>
  <c r="L696" i="5"/>
  <c r="K696" i="5"/>
  <c r="L695" i="5"/>
  <c r="K695" i="5"/>
  <c r="L694" i="5"/>
  <c r="K694" i="5"/>
  <c r="L693" i="5"/>
  <c r="K693" i="5"/>
  <c r="L692" i="5"/>
  <c r="K692" i="5"/>
  <c r="L691" i="5"/>
  <c r="K691" i="5"/>
  <c r="L690" i="5"/>
  <c r="K690" i="5"/>
  <c r="L689" i="5"/>
  <c r="K689" i="5"/>
  <c r="L688" i="5"/>
  <c r="K688" i="5"/>
  <c r="L687" i="5"/>
  <c r="K687" i="5"/>
  <c r="L686" i="5"/>
  <c r="K686" i="5"/>
  <c r="L685" i="5"/>
  <c r="K685" i="5"/>
  <c r="L684" i="5"/>
  <c r="K684" i="5"/>
  <c r="L683" i="5"/>
  <c r="K683" i="5"/>
  <c r="L682" i="5"/>
  <c r="K682" i="5"/>
  <c r="L681" i="5"/>
  <c r="K681" i="5"/>
  <c r="L680" i="5"/>
  <c r="K680" i="5"/>
  <c r="L679" i="5"/>
  <c r="K679" i="5"/>
  <c r="L678" i="5"/>
  <c r="K678" i="5"/>
  <c r="L677" i="5"/>
  <c r="K677" i="5"/>
  <c r="L676" i="5"/>
  <c r="K676" i="5"/>
  <c r="L675" i="5"/>
  <c r="K675" i="5"/>
  <c r="L674" i="5"/>
  <c r="K674" i="5"/>
  <c r="L673" i="5"/>
  <c r="K673" i="5"/>
  <c r="L672" i="5"/>
  <c r="K672" i="5"/>
  <c r="L671" i="5"/>
  <c r="K671" i="5"/>
  <c r="L670" i="5"/>
  <c r="K670" i="5"/>
  <c r="L669" i="5"/>
  <c r="K669" i="5"/>
  <c r="L668" i="5"/>
  <c r="K668" i="5"/>
  <c r="L667" i="5"/>
  <c r="K667" i="5"/>
  <c r="L666" i="5"/>
  <c r="K666" i="5"/>
  <c r="L665" i="5"/>
  <c r="K665" i="5"/>
  <c r="L664" i="5"/>
  <c r="K664" i="5"/>
  <c r="L663" i="5"/>
  <c r="K663" i="5"/>
  <c r="L662" i="5"/>
  <c r="K662" i="5"/>
  <c r="L661" i="5"/>
  <c r="K661" i="5"/>
  <c r="L660" i="5"/>
  <c r="K660" i="5"/>
  <c r="L659" i="5"/>
  <c r="K659" i="5"/>
  <c r="L658" i="5"/>
  <c r="K658" i="5"/>
  <c r="L657" i="5"/>
  <c r="K657" i="5"/>
  <c r="L656" i="5"/>
  <c r="K656" i="5"/>
  <c r="L655" i="5"/>
  <c r="K655" i="5"/>
  <c r="L654" i="5"/>
  <c r="K654" i="5"/>
  <c r="L653" i="5"/>
  <c r="K653" i="5"/>
  <c r="L652" i="5"/>
  <c r="K652" i="5"/>
  <c r="L651" i="5"/>
  <c r="K651" i="5"/>
  <c r="L650" i="5"/>
  <c r="K650" i="5"/>
  <c r="L649" i="5"/>
  <c r="K649" i="5"/>
  <c r="L648" i="5"/>
  <c r="K648" i="5"/>
  <c r="L647" i="5"/>
  <c r="K647" i="5"/>
  <c r="L646" i="5"/>
  <c r="K646" i="5"/>
  <c r="L645" i="5"/>
  <c r="K645" i="5"/>
  <c r="L644" i="5"/>
  <c r="K644" i="5"/>
  <c r="L643" i="5"/>
  <c r="K643" i="5"/>
  <c r="L642" i="5"/>
  <c r="K642" i="5"/>
  <c r="L641" i="5"/>
  <c r="K641" i="5"/>
  <c r="L640" i="5"/>
  <c r="K640" i="5"/>
  <c r="L639" i="5"/>
  <c r="K639" i="5"/>
  <c r="L638" i="5"/>
  <c r="K638" i="5"/>
  <c r="L637" i="5"/>
  <c r="K637" i="5"/>
  <c r="L636" i="5"/>
  <c r="K636" i="5"/>
  <c r="L635" i="5"/>
  <c r="K635" i="5"/>
  <c r="L634" i="5"/>
  <c r="K634" i="5"/>
  <c r="L633" i="5"/>
  <c r="K633" i="5"/>
  <c r="L632" i="5"/>
  <c r="K632" i="5"/>
  <c r="L626" i="5"/>
  <c r="K626" i="5"/>
  <c r="L625" i="5"/>
  <c r="K625" i="5"/>
  <c r="L624" i="5"/>
  <c r="K624" i="5"/>
  <c r="L618" i="5"/>
  <c r="K618" i="5"/>
  <c r="L617" i="5"/>
  <c r="K617" i="5"/>
  <c r="L616" i="5"/>
  <c r="K616" i="5"/>
  <c r="L615" i="5"/>
  <c r="K615" i="5"/>
  <c r="L614" i="5"/>
  <c r="K614" i="5"/>
  <c r="L613" i="5"/>
  <c r="K613" i="5"/>
  <c r="L612" i="5"/>
  <c r="K612" i="5"/>
  <c r="L611" i="5"/>
  <c r="K611" i="5"/>
  <c r="L610" i="5"/>
  <c r="K610" i="5"/>
  <c r="L609" i="5"/>
  <c r="K609" i="5"/>
  <c r="L608" i="5"/>
  <c r="K608" i="5"/>
  <c r="L607" i="5"/>
  <c r="K607" i="5"/>
  <c r="L606" i="5"/>
  <c r="K606" i="5"/>
  <c r="L605" i="5"/>
  <c r="K605" i="5"/>
  <c r="L604" i="5"/>
  <c r="K604" i="5"/>
  <c r="L603" i="5"/>
  <c r="K603" i="5"/>
  <c r="L602" i="5"/>
  <c r="K602" i="5"/>
  <c r="L601" i="5"/>
  <c r="K601" i="5"/>
  <c r="L600" i="5"/>
  <c r="K600" i="5"/>
  <c r="L599" i="5"/>
  <c r="K599" i="5"/>
  <c r="L598" i="5"/>
  <c r="K598" i="5"/>
  <c r="L597" i="5"/>
  <c r="K597" i="5"/>
  <c r="L596" i="5"/>
  <c r="K596" i="5"/>
  <c r="L595" i="5"/>
  <c r="K595" i="5"/>
  <c r="L594" i="5"/>
  <c r="K594" i="5"/>
  <c r="L593" i="5"/>
  <c r="K593" i="5"/>
  <c r="L592" i="5"/>
  <c r="K592" i="5"/>
  <c r="L591" i="5"/>
  <c r="K591" i="5"/>
  <c r="L590" i="5"/>
  <c r="K590" i="5"/>
  <c r="L589" i="5"/>
  <c r="K589" i="5"/>
  <c r="L588" i="5"/>
  <c r="K588" i="5"/>
  <c r="L587" i="5"/>
  <c r="K587" i="5"/>
  <c r="L586" i="5"/>
  <c r="K586" i="5"/>
  <c r="L585" i="5"/>
  <c r="K585" i="5"/>
  <c r="L584" i="5"/>
  <c r="K584" i="5"/>
  <c r="L583" i="5"/>
  <c r="K583" i="5"/>
  <c r="L582" i="5"/>
  <c r="K582" i="5"/>
  <c r="L581" i="5"/>
  <c r="K581" i="5"/>
  <c r="L580" i="5"/>
  <c r="K580" i="5"/>
  <c r="L579" i="5"/>
  <c r="K579" i="5"/>
  <c r="L576" i="5"/>
  <c r="K576" i="5"/>
  <c r="L575" i="5"/>
  <c r="K575" i="5"/>
  <c r="L574" i="5"/>
  <c r="K574" i="5"/>
  <c r="L573" i="5"/>
  <c r="K573" i="5"/>
  <c r="L572" i="5"/>
  <c r="K572" i="5"/>
  <c r="L571" i="5"/>
  <c r="K571" i="5"/>
  <c r="L570" i="5"/>
  <c r="K570" i="5"/>
  <c r="L569" i="5"/>
  <c r="K569" i="5"/>
  <c r="L568" i="5"/>
  <c r="K568" i="5"/>
  <c r="L567" i="5"/>
  <c r="K567" i="5"/>
  <c r="L566" i="5"/>
  <c r="K566" i="5"/>
  <c r="L565" i="5"/>
  <c r="K565" i="5"/>
  <c r="L564" i="5"/>
  <c r="K564" i="5"/>
  <c r="L563" i="5"/>
  <c r="K563" i="5"/>
  <c r="L562" i="5"/>
  <c r="K562" i="5"/>
  <c r="L561" i="5"/>
  <c r="K561" i="5"/>
  <c r="L560" i="5"/>
  <c r="K560" i="5"/>
  <c r="L559" i="5"/>
  <c r="K559" i="5"/>
  <c r="L558" i="5"/>
  <c r="K558" i="5"/>
  <c r="L557" i="5"/>
  <c r="K557" i="5"/>
  <c r="L556" i="5"/>
  <c r="K556" i="5"/>
  <c r="L555" i="5"/>
  <c r="K555" i="5"/>
  <c r="L554" i="5"/>
  <c r="K554" i="5"/>
  <c r="L553" i="5"/>
  <c r="K553" i="5"/>
  <c r="L552" i="5"/>
  <c r="K552" i="5"/>
  <c r="L551" i="5"/>
  <c r="K551" i="5"/>
  <c r="L550" i="5"/>
  <c r="K550" i="5"/>
  <c r="L549" i="5"/>
  <c r="K549" i="5"/>
  <c r="L548" i="5"/>
  <c r="K548" i="5"/>
  <c r="L547" i="5"/>
  <c r="K547" i="5"/>
  <c r="L546" i="5"/>
  <c r="K546" i="5"/>
  <c r="L545" i="5"/>
  <c r="K545" i="5"/>
  <c r="L544" i="5"/>
  <c r="K544" i="5"/>
  <c r="L543" i="5"/>
  <c r="K543" i="5"/>
  <c r="L542" i="5"/>
  <c r="K542" i="5"/>
  <c r="L541" i="5"/>
  <c r="K541" i="5"/>
  <c r="L540" i="5"/>
  <c r="K540" i="5"/>
  <c r="L539" i="5"/>
  <c r="K539" i="5"/>
  <c r="L538" i="5"/>
  <c r="K538" i="5"/>
  <c r="L537" i="5"/>
  <c r="K537" i="5"/>
  <c r="L536" i="5"/>
  <c r="K536" i="5"/>
  <c r="L535" i="5"/>
  <c r="K535" i="5"/>
  <c r="L534" i="5"/>
  <c r="K534" i="5"/>
  <c r="L533" i="5"/>
  <c r="K533" i="5"/>
  <c r="L532" i="5"/>
  <c r="K532" i="5"/>
  <c r="L531" i="5"/>
  <c r="K531" i="5"/>
  <c r="L530" i="5"/>
  <c r="K530" i="5"/>
  <c r="L529" i="5"/>
  <c r="K529" i="5"/>
  <c r="L528" i="5"/>
  <c r="K528" i="5"/>
  <c r="L527" i="5"/>
  <c r="K527" i="5"/>
  <c r="L526" i="5"/>
  <c r="K526" i="5"/>
  <c r="L525" i="5"/>
  <c r="K525" i="5"/>
  <c r="L524" i="5"/>
  <c r="K524" i="5"/>
  <c r="L523" i="5"/>
  <c r="K523" i="5"/>
  <c r="L522" i="5"/>
  <c r="K522" i="5"/>
  <c r="L521" i="5"/>
  <c r="K521" i="5"/>
  <c r="L518" i="5"/>
  <c r="K518" i="5"/>
  <c r="L517" i="5"/>
  <c r="K517" i="5"/>
  <c r="L516" i="5"/>
  <c r="K516" i="5"/>
  <c r="L515" i="5"/>
  <c r="K515" i="5"/>
  <c r="L514" i="5"/>
  <c r="K514" i="5"/>
  <c r="L513" i="5"/>
  <c r="K513" i="5"/>
  <c r="L512" i="5"/>
  <c r="K512" i="5"/>
  <c r="L511" i="5"/>
  <c r="K511" i="5"/>
  <c r="L510" i="5"/>
  <c r="K510" i="5"/>
  <c r="L509" i="5"/>
  <c r="K509" i="5"/>
  <c r="L508" i="5"/>
  <c r="K508" i="5"/>
  <c r="L507" i="5"/>
  <c r="K507" i="5"/>
  <c r="L506" i="5"/>
  <c r="K506" i="5"/>
  <c r="L505" i="5"/>
  <c r="K505" i="5"/>
  <c r="L504" i="5"/>
  <c r="K504" i="5"/>
  <c r="L503" i="5"/>
  <c r="K503" i="5"/>
  <c r="L502" i="5"/>
  <c r="K502" i="5"/>
  <c r="L501" i="5"/>
  <c r="K501" i="5"/>
  <c r="L500" i="5"/>
  <c r="K500" i="5"/>
  <c r="L499" i="5"/>
  <c r="K499" i="5"/>
  <c r="L498" i="5"/>
  <c r="K498" i="5"/>
  <c r="L497" i="5"/>
  <c r="K497" i="5"/>
  <c r="L496" i="5"/>
  <c r="K496" i="5"/>
  <c r="L495" i="5"/>
  <c r="K495" i="5"/>
  <c r="L494" i="5"/>
  <c r="K494" i="5"/>
  <c r="L493" i="5"/>
  <c r="K493" i="5"/>
  <c r="L492" i="5"/>
  <c r="K492" i="5"/>
  <c r="L491" i="5"/>
  <c r="K491" i="5"/>
  <c r="L490" i="5"/>
  <c r="K490" i="5"/>
  <c r="L489" i="5"/>
  <c r="K489" i="5"/>
  <c r="L488" i="5"/>
  <c r="K488" i="5"/>
  <c r="L487" i="5"/>
  <c r="K487" i="5"/>
  <c r="L486" i="5"/>
  <c r="K486" i="5"/>
  <c r="L485" i="5"/>
  <c r="K485" i="5"/>
  <c r="L484" i="5"/>
  <c r="K484" i="5"/>
  <c r="L483" i="5"/>
  <c r="K483" i="5"/>
  <c r="L482" i="5"/>
  <c r="K482" i="5"/>
  <c r="L481" i="5"/>
  <c r="K481" i="5"/>
  <c r="L480" i="5"/>
  <c r="K480" i="5"/>
  <c r="L479" i="5"/>
  <c r="K479" i="5"/>
  <c r="L478" i="5"/>
  <c r="K478" i="5"/>
  <c r="L477" i="5"/>
  <c r="K477" i="5"/>
  <c r="L476" i="5"/>
  <c r="K476" i="5"/>
  <c r="L475" i="5"/>
  <c r="K475" i="5"/>
  <c r="L474" i="5"/>
  <c r="K474" i="5"/>
  <c r="L473" i="5"/>
  <c r="K473" i="5"/>
  <c r="L472" i="5"/>
  <c r="K472" i="5"/>
  <c r="L471" i="5"/>
  <c r="K471" i="5"/>
  <c r="L470" i="5"/>
  <c r="K470" i="5"/>
  <c r="L469" i="5"/>
  <c r="K469" i="5"/>
  <c r="L468" i="5"/>
  <c r="K468" i="5"/>
  <c r="L467" i="5"/>
  <c r="K467" i="5"/>
  <c r="L466" i="5"/>
  <c r="K466" i="5"/>
  <c r="L465" i="5"/>
  <c r="K465" i="5"/>
  <c r="L464" i="5"/>
  <c r="K464" i="5"/>
  <c r="L463" i="5"/>
  <c r="K463" i="5"/>
  <c r="L460" i="5"/>
  <c r="K460" i="5"/>
  <c r="L459" i="5"/>
  <c r="K459" i="5"/>
  <c r="L458" i="5"/>
  <c r="K458" i="5"/>
  <c r="L457" i="5"/>
  <c r="K457" i="5"/>
  <c r="L456" i="5"/>
  <c r="K456" i="5"/>
  <c r="L455" i="5"/>
  <c r="K455" i="5"/>
  <c r="L454" i="5"/>
  <c r="K454" i="5"/>
  <c r="L453" i="5"/>
  <c r="K453" i="5"/>
  <c r="L452" i="5"/>
  <c r="K452" i="5"/>
  <c r="L451" i="5"/>
  <c r="K451" i="5"/>
  <c r="L450" i="5"/>
  <c r="K450" i="5"/>
  <c r="L449" i="5"/>
  <c r="K449" i="5"/>
  <c r="L448" i="5"/>
  <c r="K448" i="5"/>
  <c r="L447" i="5"/>
  <c r="K447" i="5"/>
  <c r="L446" i="5"/>
  <c r="K446" i="5"/>
  <c r="L445" i="5"/>
  <c r="K445" i="5"/>
  <c r="L444" i="5"/>
  <c r="K444" i="5"/>
  <c r="L443" i="5"/>
  <c r="K443" i="5"/>
  <c r="L442" i="5"/>
  <c r="K442" i="5"/>
  <c r="L441" i="5"/>
  <c r="K441" i="5"/>
  <c r="L440" i="5"/>
  <c r="K440" i="5"/>
  <c r="L439" i="5"/>
  <c r="K439" i="5"/>
  <c r="L438" i="5"/>
  <c r="K438" i="5"/>
  <c r="L437" i="5"/>
  <c r="K437" i="5"/>
  <c r="L436" i="5"/>
  <c r="K436" i="5"/>
  <c r="L435" i="5"/>
  <c r="K435" i="5"/>
  <c r="L434" i="5"/>
  <c r="K434" i="5"/>
  <c r="L433" i="5"/>
  <c r="K433" i="5"/>
  <c r="L432" i="5"/>
  <c r="K432" i="5"/>
  <c r="L431" i="5"/>
  <c r="K431" i="5"/>
  <c r="L430" i="5"/>
  <c r="K430" i="5"/>
  <c r="L429" i="5"/>
  <c r="K429" i="5"/>
  <c r="L428" i="5"/>
  <c r="K428" i="5"/>
  <c r="L427" i="5"/>
  <c r="K427" i="5"/>
  <c r="L426" i="5"/>
  <c r="K426" i="5"/>
  <c r="L425" i="5"/>
  <c r="K425" i="5"/>
  <c r="L424" i="5"/>
  <c r="K424" i="5"/>
  <c r="L423" i="5"/>
  <c r="K423" i="5"/>
  <c r="L422" i="5"/>
  <c r="K422" i="5"/>
  <c r="L421" i="5"/>
  <c r="K421" i="5"/>
  <c r="L420" i="5"/>
  <c r="K420" i="5"/>
  <c r="L419" i="5"/>
  <c r="K419" i="5"/>
  <c r="L418" i="5"/>
  <c r="K418" i="5"/>
  <c r="L417" i="5"/>
  <c r="K417" i="5"/>
  <c r="L416" i="5"/>
  <c r="K416" i="5"/>
  <c r="L415" i="5"/>
  <c r="K415" i="5"/>
  <c r="L414" i="5"/>
  <c r="K414" i="5"/>
  <c r="L413" i="5"/>
  <c r="K413" i="5"/>
  <c r="L412" i="5"/>
  <c r="K412" i="5"/>
  <c r="L411" i="5"/>
  <c r="K411" i="5"/>
  <c r="L410" i="5"/>
  <c r="K410" i="5"/>
  <c r="L409" i="5"/>
  <c r="K409" i="5"/>
  <c r="L408" i="5"/>
  <c r="K408" i="5"/>
  <c r="L407" i="5"/>
  <c r="K407" i="5"/>
  <c r="L406" i="5"/>
  <c r="K406" i="5"/>
  <c r="L405" i="5"/>
  <c r="K405" i="5"/>
  <c r="L402" i="5"/>
  <c r="K402" i="5"/>
  <c r="L401" i="5"/>
  <c r="K401" i="5"/>
  <c r="L400" i="5"/>
  <c r="K400" i="5"/>
  <c r="L399" i="5"/>
  <c r="K399" i="5"/>
  <c r="L398" i="5"/>
  <c r="K398" i="5"/>
  <c r="L397" i="5"/>
  <c r="K397" i="5"/>
  <c r="L396" i="5"/>
  <c r="K396" i="5"/>
  <c r="L395" i="5"/>
  <c r="K395" i="5"/>
  <c r="L394" i="5"/>
  <c r="K394" i="5"/>
  <c r="L393" i="5"/>
  <c r="K393" i="5"/>
  <c r="L392" i="5"/>
  <c r="K392" i="5"/>
  <c r="L391" i="5"/>
  <c r="K391" i="5"/>
  <c r="L390" i="5"/>
  <c r="K390" i="5"/>
  <c r="L389" i="5"/>
  <c r="K389" i="5"/>
  <c r="L388" i="5"/>
  <c r="K388" i="5"/>
  <c r="L387" i="5"/>
  <c r="K387" i="5"/>
  <c r="L386" i="5"/>
  <c r="K386" i="5"/>
  <c r="L385" i="5"/>
  <c r="K385" i="5"/>
  <c r="L384" i="5"/>
  <c r="K384" i="5"/>
  <c r="L383" i="5"/>
  <c r="K383" i="5"/>
  <c r="L382" i="5"/>
  <c r="K382" i="5"/>
  <c r="L381" i="5"/>
  <c r="K381" i="5"/>
  <c r="L380" i="5"/>
  <c r="K380" i="5"/>
  <c r="L379" i="5"/>
  <c r="K379" i="5"/>
  <c r="L378" i="5"/>
  <c r="K378" i="5"/>
  <c r="L377" i="5"/>
  <c r="K377" i="5"/>
  <c r="L376" i="5"/>
  <c r="K376" i="5"/>
  <c r="L375" i="5"/>
  <c r="K375" i="5"/>
  <c r="L374" i="5"/>
  <c r="K374" i="5"/>
  <c r="L373" i="5"/>
  <c r="K373" i="5"/>
  <c r="L372" i="5"/>
  <c r="K372" i="5"/>
  <c r="L371" i="5"/>
  <c r="K371" i="5"/>
  <c r="L370" i="5"/>
  <c r="K370" i="5"/>
  <c r="L369" i="5"/>
  <c r="K369" i="5"/>
  <c r="L368" i="5"/>
  <c r="K368" i="5"/>
  <c r="L367" i="5"/>
  <c r="K367" i="5"/>
  <c r="L366" i="5"/>
  <c r="K366" i="5"/>
  <c r="L365" i="5"/>
  <c r="K365" i="5"/>
  <c r="L364" i="5"/>
  <c r="K364" i="5"/>
  <c r="L363" i="5"/>
  <c r="K363" i="5"/>
  <c r="L362" i="5"/>
  <c r="K362" i="5"/>
  <c r="L361" i="5"/>
  <c r="K361" i="5"/>
  <c r="L360" i="5"/>
  <c r="K360" i="5"/>
  <c r="L359" i="5"/>
  <c r="K359" i="5"/>
  <c r="L358" i="5"/>
  <c r="K358" i="5"/>
  <c r="L357" i="5"/>
  <c r="K357" i="5"/>
  <c r="L356" i="5"/>
  <c r="K356" i="5"/>
  <c r="L355" i="5"/>
  <c r="K355" i="5"/>
  <c r="L354" i="5"/>
  <c r="K354" i="5"/>
  <c r="L353" i="5"/>
  <c r="K353" i="5"/>
  <c r="L352" i="5"/>
  <c r="K352" i="5"/>
  <c r="L351" i="5"/>
  <c r="K351" i="5"/>
  <c r="L350" i="5"/>
  <c r="K350" i="5"/>
  <c r="L349" i="5"/>
  <c r="K349" i="5"/>
  <c r="L348" i="5"/>
  <c r="K348" i="5"/>
  <c r="L347" i="5"/>
  <c r="K347" i="5"/>
  <c r="L344" i="5"/>
  <c r="K344" i="5"/>
  <c r="L343" i="5"/>
  <c r="K343" i="5"/>
  <c r="L342" i="5"/>
  <c r="K342" i="5"/>
  <c r="L341" i="5"/>
  <c r="K341" i="5"/>
  <c r="L340" i="5"/>
  <c r="K340" i="5"/>
  <c r="L339" i="5"/>
  <c r="K339" i="5"/>
  <c r="L338" i="5"/>
  <c r="K338" i="5"/>
  <c r="L337" i="5"/>
  <c r="K337" i="5"/>
  <c r="L336" i="5"/>
  <c r="K336" i="5"/>
  <c r="L335" i="5"/>
  <c r="K335" i="5"/>
  <c r="L334" i="5"/>
  <c r="K334" i="5"/>
  <c r="L333" i="5"/>
  <c r="K333" i="5"/>
  <c r="L332" i="5"/>
  <c r="K332" i="5"/>
  <c r="L331" i="5"/>
  <c r="K331" i="5"/>
  <c r="L330" i="5"/>
  <c r="K330" i="5"/>
  <c r="L329" i="5"/>
  <c r="K329" i="5"/>
  <c r="L328" i="5"/>
  <c r="K328" i="5"/>
  <c r="L327" i="5"/>
  <c r="K327" i="5"/>
  <c r="L326" i="5"/>
  <c r="K326" i="5"/>
  <c r="L325" i="5"/>
  <c r="K325" i="5"/>
  <c r="L324" i="5"/>
  <c r="K324" i="5"/>
  <c r="L323" i="5"/>
  <c r="K323" i="5"/>
  <c r="L322" i="5"/>
  <c r="K322" i="5"/>
  <c r="L321" i="5"/>
  <c r="K321" i="5"/>
  <c r="L320" i="5"/>
  <c r="K320" i="5"/>
  <c r="L319" i="5"/>
  <c r="K319" i="5"/>
  <c r="L318" i="5"/>
  <c r="K318" i="5"/>
  <c r="L317" i="5"/>
  <c r="K317" i="5"/>
  <c r="L316" i="5"/>
  <c r="K316" i="5"/>
  <c r="L315" i="5"/>
  <c r="K315" i="5"/>
  <c r="L314" i="5"/>
  <c r="K314" i="5"/>
  <c r="L313" i="5"/>
  <c r="K313" i="5"/>
  <c r="L312" i="5"/>
  <c r="K312" i="5"/>
  <c r="L311" i="5"/>
  <c r="K311" i="5"/>
  <c r="L310" i="5"/>
  <c r="K310" i="5"/>
  <c r="L309" i="5"/>
  <c r="K309" i="5"/>
  <c r="L308" i="5"/>
  <c r="K308" i="5"/>
  <c r="L307" i="5"/>
  <c r="K307" i="5"/>
  <c r="L306" i="5"/>
  <c r="K306" i="5"/>
  <c r="L305" i="5"/>
  <c r="K305" i="5"/>
  <c r="L304" i="5"/>
  <c r="K304" i="5"/>
  <c r="L303" i="5"/>
  <c r="K303" i="5"/>
  <c r="L302" i="5"/>
  <c r="K302" i="5"/>
  <c r="L301" i="5"/>
  <c r="K301" i="5"/>
  <c r="L300" i="5"/>
  <c r="K300" i="5"/>
  <c r="L299" i="5"/>
  <c r="K299" i="5"/>
  <c r="L298" i="5"/>
  <c r="K298" i="5"/>
  <c r="L297" i="5"/>
  <c r="K297" i="5"/>
  <c r="L296" i="5"/>
  <c r="K296" i="5"/>
  <c r="L295" i="5"/>
  <c r="K295" i="5"/>
  <c r="L294" i="5"/>
  <c r="K294" i="5"/>
  <c r="L293" i="5"/>
  <c r="K293" i="5"/>
  <c r="L292" i="5"/>
  <c r="K292" i="5"/>
  <c r="L291" i="5"/>
  <c r="K291" i="5"/>
  <c r="L290" i="5"/>
  <c r="K290" i="5"/>
  <c r="L286" i="5"/>
  <c r="K286" i="5"/>
  <c r="L285" i="5"/>
  <c r="K285" i="5"/>
  <c r="L284" i="5"/>
  <c r="K284" i="5"/>
  <c r="L283" i="5"/>
  <c r="K283" i="5"/>
  <c r="L282" i="5"/>
  <c r="K282" i="5"/>
  <c r="L281" i="5"/>
  <c r="K281" i="5"/>
  <c r="L280" i="5"/>
  <c r="K280" i="5"/>
  <c r="L279" i="5"/>
  <c r="K279" i="5"/>
  <c r="L278" i="5"/>
  <c r="K278" i="5"/>
  <c r="L277" i="5"/>
  <c r="K277" i="5"/>
  <c r="L276" i="5"/>
  <c r="K276" i="5"/>
  <c r="L275" i="5"/>
  <c r="K275" i="5"/>
  <c r="L274" i="5"/>
  <c r="K274" i="5"/>
  <c r="L273" i="5"/>
  <c r="K273" i="5"/>
  <c r="L272" i="5"/>
  <c r="K272" i="5"/>
  <c r="L271" i="5"/>
  <c r="K271" i="5"/>
  <c r="L270" i="5"/>
  <c r="K270" i="5"/>
  <c r="L269" i="5"/>
  <c r="K269" i="5"/>
  <c r="L268" i="5"/>
  <c r="K268" i="5"/>
  <c r="L267" i="5"/>
  <c r="K267" i="5"/>
  <c r="L266" i="5"/>
  <c r="K266" i="5"/>
  <c r="L265" i="5"/>
  <c r="K265" i="5"/>
  <c r="L264" i="5"/>
  <c r="K264" i="5"/>
  <c r="L263" i="5"/>
  <c r="K263" i="5"/>
  <c r="L262" i="5"/>
  <c r="K262" i="5"/>
  <c r="L261" i="5"/>
  <c r="K261" i="5"/>
  <c r="L260" i="5"/>
  <c r="K260" i="5"/>
  <c r="L259" i="5"/>
  <c r="K259" i="5"/>
  <c r="L258" i="5"/>
  <c r="K258" i="5"/>
  <c r="L257" i="5"/>
  <c r="K257" i="5"/>
  <c r="L256" i="5"/>
  <c r="K256" i="5"/>
  <c r="L255" i="5"/>
  <c r="K255" i="5"/>
  <c r="L254" i="5"/>
  <c r="K254" i="5"/>
  <c r="L253" i="5"/>
  <c r="K253" i="5"/>
  <c r="L252" i="5"/>
  <c r="K252" i="5"/>
  <c r="L251" i="5"/>
  <c r="K251" i="5"/>
  <c r="L250" i="5"/>
  <c r="K250" i="5"/>
  <c r="L249" i="5"/>
  <c r="K249" i="5"/>
  <c r="L248" i="5"/>
  <c r="K248" i="5"/>
  <c r="L247" i="5"/>
  <c r="K247" i="5"/>
  <c r="L246" i="5"/>
  <c r="K246" i="5"/>
  <c r="L245" i="5"/>
  <c r="K245" i="5"/>
  <c r="L244" i="5"/>
  <c r="K244" i="5"/>
  <c r="L243" i="5"/>
  <c r="K243" i="5"/>
  <c r="L242" i="5"/>
  <c r="K242" i="5"/>
  <c r="L241" i="5"/>
  <c r="K241" i="5"/>
  <c r="L240" i="5"/>
  <c r="K240" i="5"/>
  <c r="L239" i="5"/>
  <c r="K239" i="5"/>
  <c r="L238" i="5"/>
  <c r="K238" i="5"/>
  <c r="L237" i="5"/>
  <c r="K237" i="5"/>
  <c r="L236" i="5"/>
  <c r="K236" i="5"/>
  <c r="L235" i="5"/>
  <c r="K235" i="5"/>
  <c r="L234" i="5"/>
  <c r="K234" i="5"/>
  <c r="L233" i="5"/>
  <c r="K233" i="5"/>
  <c r="L232" i="5"/>
  <c r="K232" i="5"/>
  <c r="L228" i="5"/>
  <c r="K228" i="5"/>
  <c r="L227" i="5"/>
  <c r="K227" i="5"/>
  <c r="L226" i="5"/>
  <c r="K226" i="5"/>
  <c r="L225" i="5"/>
  <c r="K225" i="5"/>
  <c r="L224" i="5"/>
  <c r="K224" i="5"/>
  <c r="L223" i="5"/>
  <c r="K223" i="5"/>
  <c r="L222" i="5"/>
  <c r="K222" i="5"/>
  <c r="L221" i="5"/>
  <c r="K221" i="5"/>
  <c r="L220" i="5"/>
  <c r="K220" i="5"/>
  <c r="L219" i="5"/>
  <c r="K219" i="5"/>
  <c r="L218" i="5"/>
  <c r="K218" i="5"/>
  <c r="L217" i="5"/>
  <c r="K217" i="5"/>
  <c r="L216" i="5"/>
  <c r="K216" i="5"/>
  <c r="L215" i="5"/>
  <c r="K215" i="5"/>
  <c r="L214" i="5"/>
  <c r="K214" i="5"/>
  <c r="L213" i="5"/>
  <c r="K213" i="5"/>
  <c r="L212" i="5"/>
  <c r="K212" i="5"/>
  <c r="L211" i="5"/>
  <c r="K211" i="5"/>
  <c r="L210" i="5"/>
  <c r="K210" i="5"/>
  <c r="L209" i="5"/>
  <c r="K209" i="5"/>
  <c r="L208" i="5"/>
  <c r="K208" i="5"/>
  <c r="L207" i="5"/>
  <c r="K207" i="5"/>
  <c r="L206" i="5"/>
  <c r="K206" i="5"/>
  <c r="L205" i="5"/>
  <c r="K205" i="5"/>
  <c r="L204" i="5"/>
  <c r="K204" i="5"/>
  <c r="L203" i="5"/>
  <c r="K203" i="5"/>
  <c r="L202" i="5"/>
  <c r="K202" i="5"/>
  <c r="L201" i="5"/>
  <c r="K201" i="5"/>
  <c r="L200" i="5"/>
  <c r="K200" i="5"/>
  <c r="L199" i="5"/>
  <c r="K199" i="5"/>
  <c r="L198" i="5"/>
  <c r="K198" i="5"/>
  <c r="L197" i="5"/>
  <c r="K197" i="5"/>
  <c r="L196" i="5"/>
  <c r="K196" i="5"/>
  <c r="L195" i="5"/>
  <c r="K195" i="5"/>
  <c r="L194" i="5"/>
  <c r="K194" i="5"/>
  <c r="L193" i="5"/>
  <c r="K193" i="5"/>
  <c r="L192" i="5"/>
  <c r="K192" i="5"/>
  <c r="L191" i="5"/>
  <c r="K191" i="5"/>
  <c r="L190" i="5"/>
  <c r="K190" i="5"/>
  <c r="L189" i="5"/>
  <c r="K189" i="5"/>
  <c r="L188" i="5"/>
  <c r="K188" i="5"/>
  <c r="L187" i="5"/>
  <c r="K187" i="5"/>
  <c r="L186" i="5"/>
  <c r="K186" i="5"/>
  <c r="L185" i="5"/>
  <c r="K185" i="5"/>
  <c r="L184" i="5"/>
  <c r="K184" i="5"/>
  <c r="L183" i="5"/>
  <c r="K183" i="5"/>
  <c r="L182" i="5"/>
  <c r="K182" i="5"/>
  <c r="L181" i="5"/>
  <c r="K181" i="5"/>
  <c r="L180" i="5"/>
  <c r="K180" i="5"/>
  <c r="L179" i="5"/>
  <c r="K179" i="5"/>
  <c r="L178" i="5"/>
  <c r="K178" i="5"/>
  <c r="L177" i="5"/>
  <c r="K177" i="5"/>
  <c r="L176" i="5"/>
  <c r="K176" i="5"/>
  <c r="L175" i="5"/>
  <c r="K175" i="5"/>
  <c r="L174" i="5"/>
  <c r="K174" i="5"/>
  <c r="L170" i="5"/>
  <c r="K170" i="5"/>
  <c r="L169" i="5"/>
  <c r="K169" i="5"/>
  <c r="L168" i="5"/>
  <c r="K168" i="5"/>
  <c r="L167" i="5"/>
  <c r="K167" i="5"/>
  <c r="L166" i="5"/>
  <c r="K166" i="5"/>
  <c r="L165" i="5"/>
  <c r="K165" i="5"/>
  <c r="L164" i="5"/>
  <c r="K164" i="5"/>
  <c r="L163" i="5"/>
  <c r="K163" i="5"/>
  <c r="L162" i="5"/>
  <c r="K162" i="5"/>
  <c r="L161" i="5"/>
  <c r="K161" i="5"/>
  <c r="L160" i="5"/>
  <c r="K160" i="5"/>
  <c r="L159" i="5"/>
  <c r="K159" i="5"/>
  <c r="L158" i="5"/>
  <c r="K158" i="5"/>
  <c r="L157" i="5"/>
  <c r="K157" i="5"/>
  <c r="L156" i="5"/>
  <c r="K156" i="5"/>
  <c r="L155" i="5"/>
  <c r="K155" i="5"/>
  <c r="L154" i="5"/>
  <c r="K154" i="5"/>
  <c r="L153" i="5"/>
  <c r="K153" i="5"/>
  <c r="L152" i="5"/>
  <c r="K152" i="5"/>
  <c r="L151" i="5"/>
  <c r="K151" i="5"/>
  <c r="L150" i="5"/>
  <c r="K150" i="5"/>
  <c r="L149" i="5"/>
  <c r="K149" i="5"/>
  <c r="L148" i="5"/>
  <c r="K148" i="5"/>
  <c r="L147" i="5"/>
  <c r="K147" i="5"/>
  <c r="L146" i="5"/>
  <c r="K146" i="5"/>
  <c r="L145" i="5"/>
  <c r="K145" i="5"/>
  <c r="L144" i="5"/>
  <c r="K144" i="5"/>
  <c r="L143" i="5"/>
  <c r="K143" i="5"/>
  <c r="L142" i="5"/>
  <c r="K142" i="5"/>
  <c r="L141" i="5"/>
  <c r="K141" i="5"/>
  <c r="L140" i="5"/>
  <c r="K140" i="5"/>
  <c r="L139" i="5"/>
  <c r="K139" i="5"/>
  <c r="L138" i="5"/>
  <c r="K138" i="5"/>
  <c r="L137" i="5"/>
  <c r="K137" i="5"/>
  <c r="L136" i="5"/>
  <c r="K136" i="5"/>
  <c r="L135" i="5"/>
  <c r="K135" i="5"/>
  <c r="L134" i="5"/>
  <c r="K134" i="5"/>
  <c r="L133" i="5"/>
  <c r="K133" i="5"/>
  <c r="L132" i="5"/>
  <c r="K132" i="5"/>
  <c r="L131" i="5"/>
  <c r="K131" i="5"/>
  <c r="L130" i="5"/>
  <c r="K130" i="5"/>
  <c r="L129" i="5"/>
  <c r="K129" i="5"/>
  <c r="L127" i="5"/>
  <c r="K127" i="5"/>
  <c r="L126" i="5"/>
  <c r="K126" i="5"/>
  <c r="L125" i="5"/>
  <c r="K125" i="5"/>
  <c r="L124" i="5"/>
  <c r="K124" i="5"/>
  <c r="L123" i="5"/>
  <c r="K123" i="5"/>
  <c r="L122" i="5"/>
  <c r="K122" i="5"/>
  <c r="L121" i="5"/>
  <c r="K121" i="5"/>
  <c r="L120" i="5"/>
  <c r="K120" i="5"/>
  <c r="L119" i="5"/>
  <c r="K119" i="5"/>
  <c r="L118" i="5"/>
  <c r="K118" i="5"/>
  <c r="L117" i="5"/>
  <c r="K117" i="5"/>
  <c r="L116" i="5"/>
  <c r="K116" i="5"/>
  <c r="L112" i="5"/>
  <c r="K112" i="5"/>
  <c r="L111" i="5"/>
  <c r="K111" i="5"/>
  <c r="L110" i="5"/>
  <c r="K110" i="5"/>
  <c r="L109" i="5"/>
  <c r="K109" i="5"/>
  <c r="L108" i="5"/>
  <c r="K108" i="5"/>
  <c r="L107" i="5"/>
  <c r="K107" i="5"/>
  <c r="L106" i="5"/>
  <c r="K106" i="5"/>
  <c r="L105" i="5"/>
  <c r="K105" i="5"/>
  <c r="L104" i="5"/>
  <c r="K104" i="5"/>
  <c r="L103" i="5"/>
  <c r="K103" i="5"/>
  <c r="L102" i="5"/>
  <c r="K102" i="5"/>
  <c r="L101" i="5"/>
  <c r="K101" i="5"/>
  <c r="L100" i="5"/>
  <c r="K100" i="5"/>
  <c r="L99" i="5"/>
  <c r="K99" i="5"/>
  <c r="L98" i="5"/>
  <c r="K98" i="5"/>
  <c r="L97" i="5"/>
  <c r="K97" i="5"/>
  <c r="L96" i="5"/>
  <c r="K96" i="5"/>
  <c r="L95" i="5"/>
  <c r="K95" i="5"/>
  <c r="L94" i="5"/>
  <c r="K94" i="5"/>
  <c r="L93" i="5"/>
  <c r="K93" i="5"/>
  <c r="L92" i="5"/>
  <c r="K92" i="5"/>
  <c r="L91" i="5"/>
  <c r="K91" i="5"/>
  <c r="L90" i="5"/>
  <c r="K90" i="5"/>
  <c r="L89" i="5"/>
  <c r="K89" i="5"/>
  <c r="L88" i="5"/>
  <c r="K88" i="5"/>
  <c r="L87" i="5"/>
  <c r="K87" i="5"/>
  <c r="L86" i="5"/>
  <c r="K86" i="5"/>
  <c r="L85" i="5"/>
  <c r="K85" i="5"/>
  <c r="L84" i="5"/>
  <c r="K84" i="5"/>
  <c r="L83" i="5"/>
  <c r="K83" i="5"/>
  <c r="L82" i="5"/>
  <c r="K82" i="5"/>
  <c r="L81" i="5"/>
  <c r="K81" i="5"/>
  <c r="L80" i="5"/>
  <c r="K80" i="5"/>
  <c r="L79" i="5"/>
  <c r="K79" i="5"/>
  <c r="L78" i="5"/>
  <c r="K78" i="5"/>
  <c r="L77" i="5"/>
  <c r="K77" i="5"/>
  <c r="L76" i="5"/>
  <c r="K76" i="5"/>
  <c r="L75" i="5"/>
  <c r="K75" i="5"/>
  <c r="L74" i="5"/>
  <c r="K74" i="5"/>
  <c r="L73" i="5"/>
  <c r="K73" i="5"/>
  <c r="L72" i="5"/>
  <c r="K72" i="5"/>
  <c r="L71" i="5"/>
  <c r="K71" i="5"/>
  <c r="L70" i="5"/>
  <c r="K70" i="5"/>
  <c r="L69" i="5"/>
  <c r="K69" i="5"/>
  <c r="L68" i="5"/>
  <c r="K68" i="5"/>
  <c r="L67" i="5"/>
  <c r="K67" i="5"/>
  <c r="L66" i="5"/>
  <c r="K66" i="5"/>
  <c r="L65" i="5"/>
  <c r="K65" i="5"/>
  <c r="L64" i="5"/>
  <c r="K64" i="5"/>
  <c r="L63" i="5"/>
  <c r="K63" i="5"/>
  <c r="L62" i="5"/>
  <c r="K62" i="5"/>
  <c r="L61" i="5"/>
  <c r="K61" i="5"/>
  <c r="L60" i="5"/>
  <c r="K60" i="5"/>
  <c r="L59" i="5"/>
  <c r="K59" i="5"/>
  <c r="L58" i="5"/>
  <c r="K58" i="5"/>
  <c r="L57" i="5"/>
  <c r="K57" i="5"/>
  <c r="L54" i="5"/>
  <c r="K54" i="5"/>
  <c r="L53" i="5"/>
  <c r="K53" i="5"/>
  <c r="L52" i="5"/>
  <c r="K52" i="5"/>
  <c r="L51" i="5"/>
  <c r="K51" i="5"/>
  <c r="L50" i="5"/>
  <c r="K50" i="5"/>
  <c r="L49" i="5"/>
  <c r="K49" i="5"/>
  <c r="L48" i="5"/>
  <c r="K48" i="5"/>
  <c r="L47" i="5"/>
  <c r="K47" i="5"/>
  <c r="L46" i="5"/>
  <c r="K46" i="5"/>
  <c r="L45" i="5"/>
  <c r="K45" i="5"/>
  <c r="L44" i="5"/>
  <c r="K44" i="5"/>
  <c r="L43" i="5"/>
  <c r="K43" i="5"/>
  <c r="L42" i="5"/>
  <c r="K42" i="5"/>
  <c r="L41" i="5"/>
  <c r="K41" i="5"/>
  <c r="L40" i="5"/>
  <c r="K40" i="5"/>
  <c r="L39" i="5"/>
  <c r="K39" i="5"/>
  <c r="L38" i="5"/>
  <c r="K38" i="5"/>
  <c r="L37" i="5"/>
  <c r="K37" i="5"/>
  <c r="L36" i="5"/>
  <c r="K36" i="5"/>
  <c r="L35" i="5"/>
  <c r="K35" i="5"/>
  <c r="L34" i="5"/>
  <c r="K34" i="5"/>
  <c r="L33" i="5"/>
  <c r="K33" i="5"/>
  <c r="L32" i="5"/>
  <c r="K32" i="5"/>
  <c r="L31" i="5"/>
  <c r="K31" i="5"/>
  <c r="L30" i="5"/>
  <c r="K30" i="5"/>
  <c r="L29" i="5"/>
  <c r="K29" i="5"/>
  <c r="L28" i="5"/>
  <c r="K28" i="5"/>
  <c r="L27" i="5"/>
  <c r="K27" i="5"/>
  <c r="L26" i="5"/>
  <c r="K26" i="5"/>
  <c r="L25" i="5"/>
  <c r="K25" i="5"/>
  <c r="L24" i="5"/>
  <c r="K24" i="5"/>
  <c r="L23" i="5"/>
  <c r="K23" i="5"/>
  <c r="L22" i="5"/>
  <c r="K22" i="5"/>
  <c r="L21" i="5"/>
  <c r="K21" i="5"/>
  <c r="L20" i="5"/>
  <c r="K20" i="5"/>
  <c r="L19" i="5"/>
  <c r="K19" i="5"/>
  <c r="L18" i="5"/>
  <c r="K18" i="5"/>
  <c r="L17" i="5"/>
  <c r="K17" i="5"/>
  <c r="L16" i="5"/>
  <c r="K16" i="5"/>
  <c r="L15" i="5"/>
  <c r="K15" i="5"/>
  <c r="L14" i="5"/>
  <c r="K14" i="5"/>
  <c r="L13" i="5"/>
  <c r="K13" i="5"/>
  <c r="L12" i="5"/>
  <c r="K12" i="5"/>
  <c r="L11" i="5"/>
  <c r="K11" i="5"/>
  <c r="L10" i="5"/>
  <c r="K10" i="5"/>
  <c r="L9" i="5"/>
  <c r="K9" i="5"/>
  <c r="L8" i="5"/>
  <c r="K8" i="5"/>
  <c r="L7" i="5"/>
  <c r="K7" i="5"/>
  <c r="L6" i="5"/>
  <c r="K6" i="5"/>
  <c r="L5" i="5"/>
  <c r="K5" i="5"/>
  <c r="L4" i="5"/>
  <c r="K4" i="5"/>
  <c r="L688" i="4"/>
  <c r="K688" i="4"/>
  <c r="L687" i="4"/>
  <c r="K687" i="4"/>
  <c r="L686" i="4"/>
  <c r="K686" i="4"/>
  <c r="L685" i="4"/>
  <c r="K685" i="4"/>
  <c r="L684" i="4"/>
  <c r="K684" i="4"/>
  <c r="L683" i="4"/>
  <c r="K683" i="4"/>
  <c r="L682" i="4"/>
  <c r="K682" i="4"/>
  <c r="L681" i="4"/>
  <c r="K681" i="4"/>
  <c r="L680" i="4"/>
  <c r="K680" i="4"/>
  <c r="L679" i="4"/>
  <c r="K679" i="4"/>
  <c r="L678" i="4"/>
  <c r="K678" i="4"/>
  <c r="L677" i="4"/>
  <c r="K677" i="4"/>
  <c r="L676" i="4"/>
  <c r="K676" i="4"/>
  <c r="L675" i="4"/>
  <c r="K675" i="4"/>
  <c r="L674" i="4"/>
  <c r="K674" i="4"/>
  <c r="L673" i="4"/>
  <c r="K673" i="4"/>
  <c r="L672" i="4"/>
  <c r="K672" i="4"/>
  <c r="L671" i="4"/>
  <c r="K671" i="4"/>
  <c r="L670" i="4"/>
  <c r="K670" i="4"/>
  <c r="L669" i="4"/>
  <c r="K669" i="4"/>
  <c r="L668" i="4"/>
  <c r="K668" i="4"/>
  <c r="L667" i="4"/>
  <c r="K667" i="4"/>
  <c r="L666" i="4"/>
  <c r="K666" i="4"/>
  <c r="L665" i="4"/>
  <c r="K665" i="4"/>
  <c r="L664" i="4"/>
  <c r="K664" i="4"/>
  <c r="L663" i="4"/>
  <c r="K663" i="4"/>
  <c r="L662" i="4"/>
  <c r="K662" i="4"/>
  <c r="L661" i="4"/>
  <c r="K661" i="4"/>
  <c r="L660" i="4"/>
  <c r="K660" i="4"/>
  <c r="L659" i="4"/>
  <c r="K659" i="4"/>
  <c r="L658" i="4"/>
  <c r="K658" i="4"/>
  <c r="L657" i="4"/>
  <c r="K657" i="4"/>
  <c r="L656" i="4"/>
  <c r="K656" i="4"/>
  <c r="L655" i="4"/>
  <c r="K655" i="4"/>
  <c r="L654" i="4"/>
  <c r="K654" i="4"/>
  <c r="L653" i="4"/>
  <c r="K653" i="4"/>
  <c r="L652" i="4"/>
  <c r="K652" i="4"/>
  <c r="L651" i="4"/>
  <c r="K651" i="4"/>
  <c r="L650" i="4"/>
  <c r="K650" i="4"/>
  <c r="L649" i="4"/>
  <c r="K649" i="4"/>
  <c r="L648" i="4"/>
  <c r="K648" i="4"/>
  <c r="L647" i="4"/>
  <c r="K647" i="4"/>
  <c r="L646" i="4"/>
  <c r="K646" i="4"/>
  <c r="L645" i="4"/>
  <c r="K645" i="4"/>
  <c r="L644" i="4"/>
  <c r="K644" i="4"/>
  <c r="L643" i="4"/>
  <c r="K643" i="4"/>
  <c r="L642" i="4"/>
  <c r="K642" i="4"/>
  <c r="L641" i="4"/>
  <c r="K641" i="4"/>
  <c r="L640" i="4"/>
  <c r="K640" i="4"/>
  <c r="L639" i="4"/>
  <c r="K639" i="4"/>
  <c r="L638" i="4"/>
  <c r="K638" i="4"/>
  <c r="L637" i="4"/>
  <c r="K637" i="4"/>
  <c r="L636" i="4"/>
  <c r="K636" i="4"/>
  <c r="L635" i="4"/>
  <c r="K635" i="4"/>
  <c r="L634" i="4"/>
  <c r="K634" i="4"/>
  <c r="L633" i="4"/>
  <c r="K633" i="4"/>
  <c r="L632" i="4"/>
  <c r="K632" i="4"/>
  <c r="L631" i="4"/>
  <c r="K631" i="4"/>
  <c r="L630" i="4"/>
  <c r="K630" i="4"/>
  <c r="L629" i="4"/>
  <c r="K629" i="4"/>
  <c r="L628" i="4"/>
  <c r="K628" i="4"/>
  <c r="L627" i="4"/>
  <c r="K627" i="4"/>
  <c r="L626" i="4"/>
  <c r="K626" i="4"/>
  <c r="L625" i="4"/>
  <c r="K625" i="4"/>
  <c r="L624" i="4"/>
  <c r="K624" i="4"/>
  <c r="L623" i="4"/>
  <c r="K623" i="4"/>
  <c r="L622" i="4"/>
  <c r="K622" i="4"/>
  <c r="L621" i="4"/>
  <c r="K621" i="4"/>
  <c r="L620" i="4"/>
  <c r="K620" i="4"/>
  <c r="L619" i="4"/>
  <c r="K619" i="4"/>
  <c r="L618" i="4"/>
  <c r="K618" i="4"/>
  <c r="L617" i="4"/>
  <c r="K617" i="4"/>
  <c r="L616" i="4"/>
  <c r="K616" i="4"/>
  <c r="L615" i="4"/>
  <c r="K615" i="4"/>
  <c r="L614" i="4"/>
  <c r="K614" i="4"/>
  <c r="L613" i="4"/>
  <c r="K613" i="4"/>
  <c r="L612" i="4"/>
  <c r="K612" i="4"/>
  <c r="L611" i="4"/>
  <c r="K611" i="4"/>
  <c r="L610" i="4"/>
  <c r="K610" i="4"/>
  <c r="L609" i="4"/>
  <c r="K609" i="4"/>
  <c r="L608" i="4"/>
  <c r="K608" i="4"/>
  <c r="L607" i="4"/>
  <c r="K607" i="4"/>
  <c r="L606" i="4"/>
  <c r="K606" i="4"/>
  <c r="L605" i="4"/>
  <c r="K605" i="4"/>
  <c r="L604" i="4"/>
  <c r="K604" i="4"/>
  <c r="L603" i="4"/>
  <c r="K603" i="4"/>
  <c r="L602" i="4"/>
  <c r="K602" i="4"/>
  <c r="L601" i="4"/>
  <c r="K601" i="4"/>
  <c r="L600" i="4"/>
  <c r="K600" i="4"/>
  <c r="L599" i="4"/>
  <c r="K599" i="4"/>
  <c r="L598" i="4"/>
  <c r="K598" i="4"/>
  <c r="L597" i="4"/>
  <c r="K597" i="4"/>
  <c r="L596" i="4"/>
  <c r="K596" i="4"/>
  <c r="L595" i="4"/>
  <c r="K595" i="4"/>
  <c r="L594" i="4"/>
  <c r="K594" i="4"/>
  <c r="L593" i="4"/>
  <c r="K593" i="4"/>
  <c r="L592" i="4"/>
  <c r="K592" i="4"/>
  <c r="L591" i="4"/>
  <c r="K591" i="4"/>
  <c r="L590" i="4"/>
  <c r="K590" i="4"/>
  <c r="L589" i="4"/>
  <c r="K589" i="4"/>
  <c r="L588" i="4"/>
  <c r="K588" i="4"/>
  <c r="L587" i="4"/>
  <c r="K587" i="4"/>
  <c r="L586" i="4"/>
  <c r="K586" i="4"/>
  <c r="L585" i="4"/>
  <c r="K585" i="4"/>
  <c r="L584" i="4"/>
  <c r="K584" i="4"/>
  <c r="L583" i="4"/>
  <c r="K583" i="4"/>
  <c r="L582" i="4"/>
  <c r="K582" i="4"/>
  <c r="L581" i="4"/>
  <c r="K581" i="4"/>
  <c r="L580" i="4"/>
  <c r="K580" i="4"/>
  <c r="L579" i="4"/>
  <c r="K579" i="4"/>
  <c r="L578" i="4"/>
  <c r="K578" i="4"/>
  <c r="L577" i="4"/>
  <c r="K577" i="4"/>
  <c r="L576" i="4"/>
  <c r="K576" i="4"/>
  <c r="L575" i="4"/>
  <c r="K575" i="4"/>
  <c r="L574" i="4"/>
  <c r="K574" i="4"/>
  <c r="L573" i="4"/>
  <c r="K573" i="4"/>
  <c r="L572" i="4"/>
  <c r="K572" i="4"/>
  <c r="L571" i="4"/>
  <c r="K571" i="4"/>
  <c r="L570" i="4"/>
  <c r="K570" i="4"/>
  <c r="L569" i="4"/>
  <c r="K569" i="4"/>
  <c r="L568" i="4"/>
  <c r="K568" i="4"/>
  <c r="L567" i="4"/>
  <c r="K567" i="4"/>
  <c r="L566" i="4"/>
  <c r="K566" i="4"/>
  <c r="L565" i="4"/>
  <c r="K565" i="4"/>
  <c r="L564" i="4"/>
  <c r="K564" i="4"/>
  <c r="L563" i="4"/>
  <c r="K563" i="4"/>
  <c r="L562" i="4"/>
  <c r="K562" i="4"/>
  <c r="L561" i="4"/>
  <c r="K561" i="4"/>
  <c r="L560" i="4"/>
  <c r="K560" i="4"/>
  <c r="L559" i="4"/>
  <c r="K559" i="4"/>
  <c r="L558" i="4"/>
  <c r="K558" i="4"/>
  <c r="L557" i="4"/>
  <c r="K557" i="4"/>
  <c r="L556" i="4"/>
  <c r="K556" i="4"/>
  <c r="L555" i="4"/>
  <c r="K555" i="4"/>
  <c r="L554" i="4"/>
  <c r="K554" i="4"/>
  <c r="L553" i="4"/>
  <c r="K553" i="4"/>
  <c r="L552" i="4"/>
  <c r="K552" i="4"/>
  <c r="L551" i="4"/>
  <c r="K551" i="4"/>
  <c r="L550" i="4"/>
  <c r="K550" i="4"/>
  <c r="L549" i="4"/>
  <c r="K549" i="4"/>
  <c r="L548" i="4"/>
  <c r="K548" i="4"/>
  <c r="L547" i="4"/>
  <c r="K547" i="4"/>
  <c r="L546" i="4"/>
  <c r="K546" i="4"/>
  <c r="L545" i="4"/>
  <c r="K545" i="4"/>
  <c r="L544" i="4"/>
  <c r="K544" i="4"/>
  <c r="L543" i="4"/>
  <c r="K543" i="4"/>
  <c r="L542" i="4"/>
  <c r="K542" i="4"/>
  <c r="L541" i="4"/>
  <c r="K541" i="4"/>
  <c r="L540" i="4"/>
  <c r="K540" i="4"/>
  <c r="L539" i="4"/>
  <c r="K539" i="4"/>
  <c r="L538" i="4"/>
  <c r="K538" i="4"/>
  <c r="L537" i="4"/>
  <c r="K537" i="4"/>
  <c r="L536" i="4"/>
  <c r="K536" i="4"/>
  <c r="L535" i="4"/>
  <c r="K535" i="4"/>
  <c r="L534" i="4"/>
  <c r="K534" i="4"/>
  <c r="L533" i="4"/>
  <c r="K533" i="4"/>
  <c r="L532" i="4"/>
  <c r="K532" i="4"/>
  <c r="L531" i="4"/>
  <c r="K531" i="4"/>
  <c r="L530" i="4"/>
  <c r="K530" i="4"/>
  <c r="L529" i="4"/>
  <c r="K529" i="4"/>
  <c r="L528" i="4"/>
  <c r="K528" i="4"/>
  <c r="L527" i="4"/>
  <c r="K527" i="4"/>
  <c r="L526" i="4"/>
  <c r="K526" i="4"/>
  <c r="L525" i="4"/>
  <c r="K525" i="4"/>
  <c r="L524" i="4"/>
  <c r="K524" i="4"/>
  <c r="L523" i="4"/>
  <c r="K523" i="4"/>
  <c r="L522" i="4"/>
  <c r="K522" i="4"/>
  <c r="L521" i="4"/>
  <c r="K521" i="4"/>
  <c r="L520" i="4"/>
  <c r="K520" i="4"/>
  <c r="L519" i="4"/>
  <c r="K519" i="4"/>
  <c r="L518" i="4"/>
  <c r="K518" i="4"/>
  <c r="L517" i="4"/>
  <c r="K517" i="4"/>
  <c r="L516" i="4"/>
  <c r="K516" i="4"/>
  <c r="L515" i="4"/>
  <c r="K515" i="4"/>
  <c r="L514" i="4"/>
  <c r="K514" i="4"/>
  <c r="L513" i="4"/>
  <c r="K513" i="4"/>
  <c r="L512" i="4"/>
  <c r="K512" i="4"/>
  <c r="L511" i="4"/>
  <c r="K511" i="4"/>
  <c r="L510" i="4"/>
  <c r="K510" i="4"/>
  <c r="L509" i="4"/>
  <c r="K509" i="4"/>
  <c r="L508" i="4"/>
  <c r="K508" i="4"/>
  <c r="L507" i="4"/>
  <c r="K507" i="4"/>
  <c r="L506" i="4"/>
  <c r="K506" i="4"/>
  <c r="L505" i="4"/>
  <c r="K505" i="4"/>
  <c r="L504" i="4"/>
  <c r="K504" i="4"/>
  <c r="L503" i="4"/>
  <c r="K503" i="4"/>
  <c r="L502" i="4"/>
  <c r="K502" i="4"/>
  <c r="L501" i="4"/>
  <c r="K501" i="4"/>
  <c r="L500" i="4"/>
  <c r="K500" i="4"/>
  <c r="L499" i="4"/>
  <c r="K499" i="4"/>
  <c r="L498" i="4"/>
  <c r="K498" i="4"/>
  <c r="L497" i="4"/>
  <c r="K497" i="4"/>
  <c r="L496" i="4"/>
  <c r="K496" i="4"/>
  <c r="L495" i="4"/>
  <c r="K495" i="4"/>
  <c r="L494" i="4"/>
  <c r="K494" i="4"/>
  <c r="L493" i="4"/>
  <c r="K493" i="4"/>
  <c r="L492" i="4"/>
  <c r="K492" i="4"/>
  <c r="L491" i="4"/>
  <c r="K491" i="4"/>
  <c r="L490" i="4"/>
  <c r="K490" i="4"/>
  <c r="L489" i="4"/>
  <c r="K489" i="4"/>
  <c r="L488" i="4"/>
  <c r="K488" i="4"/>
  <c r="L487" i="4"/>
  <c r="K487" i="4"/>
  <c r="L486" i="4"/>
  <c r="K486" i="4"/>
  <c r="L485" i="4"/>
  <c r="K485" i="4"/>
  <c r="L484" i="4"/>
  <c r="K484" i="4"/>
  <c r="L483" i="4"/>
  <c r="K483" i="4"/>
  <c r="L482" i="4"/>
  <c r="K482" i="4"/>
  <c r="L481" i="4"/>
  <c r="K481" i="4"/>
  <c r="L480" i="4"/>
  <c r="K480" i="4"/>
  <c r="L479" i="4"/>
  <c r="K479" i="4"/>
  <c r="L478" i="4"/>
  <c r="K478" i="4"/>
  <c r="L477" i="4"/>
  <c r="K477" i="4"/>
  <c r="L476" i="4"/>
  <c r="K476" i="4"/>
  <c r="L475" i="4"/>
  <c r="K475" i="4"/>
  <c r="L474" i="4"/>
  <c r="K474" i="4"/>
  <c r="L473" i="4"/>
  <c r="K473" i="4"/>
  <c r="L472" i="4"/>
  <c r="K472" i="4"/>
  <c r="L471" i="4"/>
  <c r="K471" i="4"/>
  <c r="L470" i="4"/>
  <c r="K470" i="4"/>
  <c r="L469" i="4"/>
  <c r="K469" i="4"/>
  <c r="L468" i="4"/>
  <c r="K468" i="4"/>
  <c r="L467" i="4"/>
  <c r="K467" i="4"/>
  <c r="L466" i="4"/>
  <c r="K466" i="4"/>
  <c r="L465" i="4"/>
  <c r="K465" i="4"/>
  <c r="L464" i="4"/>
  <c r="K464" i="4"/>
  <c r="L463" i="4"/>
  <c r="K463" i="4"/>
  <c r="L462" i="4"/>
  <c r="K462" i="4"/>
  <c r="L461" i="4"/>
  <c r="K461" i="4"/>
  <c r="L460" i="4"/>
  <c r="K460" i="4"/>
  <c r="L459" i="4"/>
  <c r="K459" i="4"/>
  <c r="L458" i="4"/>
  <c r="K458" i="4"/>
  <c r="L457" i="4"/>
  <c r="K457" i="4"/>
  <c r="L456" i="4"/>
  <c r="K456" i="4"/>
  <c r="L455" i="4"/>
  <c r="K455" i="4"/>
  <c r="L454" i="4"/>
  <c r="K454" i="4"/>
  <c r="L453" i="4"/>
  <c r="K453" i="4"/>
  <c r="L452" i="4"/>
  <c r="K452" i="4"/>
  <c r="L451" i="4"/>
  <c r="K451" i="4"/>
  <c r="L450" i="4"/>
  <c r="K450" i="4"/>
  <c r="L449" i="4"/>
  <c r="K449" i="4"/>
  <c r="L448" i="4"/>
  <c r="K448" i="4"/>
  <c r="L447" i="4"/>
  <c r="K447" i="4"/>
  <c r="L446" i="4"/>
  <c r="K446" i="4"/>
  <c r="L445" i="4"/>
  <c r="K445" i="4"/>
  <c r="L444" i="4"/>
  <c r="K444" i="4"/>
  <c r="L443" i="4"/>
  <c r="K443" i="4"/>
  <c r="L442" i="4"/>
  <c r="K442" i="4"/>
  <c r="L441" i="4"/>
  <c r="K441" i="4"/>
  <c r="L440" i="4"/>
  <c r="K440" i="4"/>
  <c r="L439" i="4"/>
  <c r="K439" i="4"/>
  <c r="L438" i="4"/>
  <c r="K438" i="4"/>
  <c r="L437" i="4"/>
  <c r="K437" i="4"/>
  <c r="L436" i="4"/>
  <c r="K436" i="4"/>
  <c r="L435" i="4"/>
  <c r="K435" i="4"/>
  <c r="L434" i="4"/>
  <c r="K434" i="4"/>
  <c r="L433" i="4"/>
  <c r="K433" i="4"/>
  <c r="L432" i="4"/>
  <c r="K432" i="4"/>
  <c r="L431" i="4"/>
  <c r="K431" i="4"/>
  <c r="L430" i="4"/>
  <c r="K430" i="4"/>
  <c r="L429" i="4"/>
  <c r="K429" i="4"/>
  <c r="L428" i="4"/>
  <c r="K428" i="4"/>
  <c r="L427" i="4"/>
  <c r="K427" i="4"/>
  <c r="L426" i="4"/>
  <c r="K426" i="4"/>
  <c r="L425" i="4"/>
  <c r="K425" i="4"/>
  <c r="L424" i="4"/>
  <c r="K424" i="4"/>
  <c r="L423" i="4"/>
  <c r="K423" i="4"/>
  <c r="L422" i="4"/>
  <c r="K422" i="4"/>
  <c r="L421" i="4"/>
  <c r="K421" i="4"/>
  <c r="L420" i="4"/>
  <c r="K420" i="4"/>
  <c r="L419" i="4"/>
  <c r="K419" i="4"/>
  <c r="L418" i="4"/>
  <c r="K418" i="4"/>
  <c r="L417" i="4"/>
  <c r="K417" i="4"/>
  <c r="L416" i="4"/>
  <c r="K416" i="4"/>
  <c r="L415" i="4"/>
  <c r="K415" i="4"/>
  <c r="L414" i="4"/>
  <c r="K414" i="4"/>
  <c r="L413" i="4"/>
  <c r="K413" i="4"/>
  <c r="L412" i="4"/>
  <c r="K412" i="4"/>
  <c r="L411" i="4"/>
  <c r="K411" i="4"/>
  <c r="L410" i="4"/>
  <c r="K410" i="4"/>
  <c r="L409" i="4"/>
  <c r="K409" i="4"/>
  <c r="L408" i="4"/>
  <c r="K408" i="4"/>
  <c r="L407" i="4"/>
  <c r="K407" i="4"/>
  <c r="L406" i="4"/>
  <c r="K406" i="4"/>
  <c r="L405" i="4"/>
  <c r="K405" i="4"/>
  <c r="L404" i="4"/>
  <c r="K404" i="4"/>
  <c r="L403" i="4"/>
  <c r="K403" i="4"/>
  <c r="L402" i="4"/>
  <c r="K402" i="4"/>
  <c r="L401" i="4"/>
  <c r="K401" i="4"/>
  <c r="L400" i="4"/>
  <c r="K400" i="4"/>
  <c r="L399" i="4"/>
  <c r="K399" i="4"/>
  <c r="L398" i="4"/>
  <c r="K398" i="4"/>
  <c r="L397" i="4"/>
  <c r="K397" i="4"/>
  <c r="L396" i="4"/>
  <c r="K396" i="4"/>
  <c r="L395" i="4"/>
  <c r="K395" i="4"/>
  <c r="L394" i="4"/>
  <c r="K394" i="4"/>
  <c r="L393" i="4"/>
  <c r="K393" i="4"/>
  <c r="L392" i="4"/>
  <c r="K392" i="4"/>
  <c r="L391" i="4"/>
  <c r="K391" i="4"/>
  <c r="L390" i="4"/>
  <c r="K390" i="4"/>
  <c r="L389" i="4"/>
  <c r="K389" i="4"/>
  <c r="L388" i="4"/>
  <c r="K388" i="4"/>
  <c r="L387" i="4"/>
  <c r="K387" i="4"/>
  <c r="L386" i="4"/>
  <c r="K386" i="4"/>
  <c r="L385" i="4"/>
  <c r="K385" i="4"/>
  <c r="L384" i="4"/>
  <c r="K384" i="4"/>
  <c r="L383" i="4"/>
  <c r="K383" i="4"/>
  <c r="L382" i="4"/>
  <c r="K382" i="4"/>
  <c r="L381" i="4"/>
  <c r="K381" i="4"/>
  <c r="L380" i="4"/>
  <c r="K380" i="4"/>
  <c r="L379" i="4"/>
  <c r="K379" i="4"/>
  <c r="L378" i="4"/>
  <c r="K378" i="4"/>
  <c r="L377" i="4"/>
  <c r="K377" i="4"/>
  <c r="L376" i="4"/>
  <c r="K376" i="4"/>
  <c r="L375" i="4"/>
  <c r="K375" i="4"/>
  <c r="L374" i="4"/>
  <c r="K374" i="4"/>
  <c r="L373" i="4"/>
  <c r="K373" i="4"/>
  <c r="L372" i="4"/>
  <c r="K372" i="4"/>
  <c r="L371" i="4"/>
  <c r="K371" i="4"/>
  <c r="L370" i="4"/>
  <c r="K370" i="4"/>
  <c r="L369" i="4"/>
  <c r="K369" i="4"/>
  <c r="L368" i="4"/>
  <c r="K368" i="4"/>
  <c r="L367" i="4"/>
  <c r="K367" i="4"/>
  <c r="L366" i="4"/>
  <c r="K366" i="4"/>
  <c r="L365" i="4"/>
  <c r="K365" i="4"/>
  <c r="L364" i="4"/>
  <c r="K364" i="4"/>
  <c r="L363" i="4"/>
  <c r="K363" i="4"/>
  <c r="L362" i="4"/>
  <c r="K362" i="4"/>
  <c r="L361" i="4"/>
  <c r="K361" i="4"/>
  <c r="L360" i="4"/>
  <c r="K360" i="4"/>
  <c r="L359" i="4"/>
  <c r="K359" i="4"/>
  <c r="L358" i="4"/>
  <c r="K358" i="4"/>
  <c r="L357" i="4"/>
  <c r="K357" i="4"/>
  <c r="L356" i="4"/>
  <c r="K356" i="4"/>
  <c r="L355" i="4"/>
  <c r="K355" i="4"/>
  <c r="L354" i="4"/>
  <c r="K354" i="4"/>
  <c r="L353" i="4"/>
  <c r="K353" i="4"/>
  <c r="L352" i="4"/>
  <c r="K352" i="4"/>
  <c r="L351" i="4"/>
  <c r="K351" i="4"/>
  <c r="L350" i="4"/>
  <c r="K350" i="4"/>
  <c r="L349" i="4"/>
  <c r="K349" i="4"/>
  <c r="L348" i="4"/>
  <c r="K348" i="4"/>
  <c r="L347" i="4"/>
  <c r="K347" i="4"/>
  <c r="L346" i="4"/>
  <c r="K346" i="4"/>
  <c r="L345" i="4"/>
  <c r="K345" i="4"/>
  <c r="L344" i="4"/>
  <c r="K344" i="4"/>
  <c r="L343" i="4"/>
  <c r="K343" i="4"/>
  <c r="L342" i="4"/>
  <c r="K342" i="4"/>
  <c r="L341" i="4"/>
  <c r="K341" i="4"/>
  <c r="L340" i="4"/>
  <c r="K340" i="4"/>
  <c r="L339" i="4"/>
  <c r="K339" i="4"/>
  <c r="L338" i="4"/>
  <c r="K338" i="4"/>
  <c r="L337" i="4"/>
  <c r="K337" i="4"/>
  <c r="L336" i="4"/>
  <c r="K336" i="4"/>
  <c r="L335" i="4"/>
  <c r="K335" i="4"/>
  <c r="L334" i="4"/>
  <c r="K334" i="4"/>
  <c r="L333" i="4"/>
  <c r="K333" i="4"/>
  <c r="L332" i="4"/>
  <c r="K332" i="4"/>
  <c r="L331" i="4"/>
  <c r="K331" i="4"/>
  <c r="L330" i="4"/>
  <c r="K330" i="4"/>
  <c r="L329" i="4"/>
  <c r="K329" i="4"/>
  <c r="L328" i="4"/>
  <c r="K328" i="4"/>
  <c r="L327" i="4"/>
  <c r="K327" i="4"/>
  <c r="L326" i="4"/>
  <c r="K326" i="4"/>
  <c r="L325" i="4"/>
  <c r="K325" i="4"/>
  <c r="L324" i="4"/>
  <c r="K324" i="4"/>
  <c r="L323" i="4"/>
  <c r="K323" i="4"/>
  <c r="L322" i="4"/>
  <c r="K322" i="4"/>
  <c r="L321" i="4"/>
  <c r="K321" i="4"/>
  <c r="L320" i="4"/>
  <c r="K320" i="4"/>
  <c r="L319" i="4"/>
  <c r="K319" i="4"/>
  <c r="L318" i="4"/>
  <c r="K318" i="4"/>
  <c r="L317" i="4"/>
  <c r="K317" i="4"/>
  <c r="L316" i="4"/>
  <c r="K316" i="4"/>
  <c r="L315" i="4"/>
  <c r="K315" i="4"/>
  <c r="L314" i="4"/>
  <c r="K314" i="4"/>
  <c r="L313" i="4"/>
  <c r="K313" i="4"/>
  <c r="L312" i="4"/>
  <c r="K312" i="4"/>
  <c r="L311" i="4"/>
  <c r="K311" i="4"/>
  <c r="L310" i="4"/>
  <c r="K310" i="4"/>
  <c r="L309" i="4"/>
  <c r="K309" i="4"/>
  <c r="L308" i="4"/>
  <c r="K308" i="4"/>
  <c r="L307" i="4"/>
  <c r="K307" i="4"/>
  <c r="L306" i="4"/>
  <c r="K306" i="4"/>
  <c r="L305" i="4"/>
  <c r="K305" i="4"/>
  <c r="L304" i="4"/>
  <c r="K304" i="4"/>
  <c r="L303" i="4"/>
  <c r="K303" i="4"/>
  <c r="L302" i="4"/>
  <c r="K302" i="4"/>
  <c r="L301" i="4"/>
  <c r="K301" i="4"/>
  <c r="L300" i="4"/>
  <c r="K300" i="4"/>
  <c r="L299" i="4"/>
  <c r="K299" i="4"/>
  <c r="L298" i="4"/>
  <c r="K298" i="4"/>
  <c r="L297" i="4"/>
  <c r="K297" i="4"/>
  <c r="L296" i="4"/>
  <c r="K296" i="4"/>
  <c r="L295" i="4"/>
  <c r="K295" i="4"/>
  <c r="L294" i="4"/>
  <c r="K294" i="4"/>
  <c r="L293" i="4"/>
  <c r="K293" i="4"/>
  <c r="L292" i="4"/>
  <c r="K292" i="4"/>
  <c r="L291" i="4"/>
  <c r="K291" i="4"/>
  <c r="L290" i="4"/>
  <c r="K290" i="4"/>
  <c r="L289" i="4"/>
  <c r="K289" i="4"/>
  <c r="L288" i="4"/>
  <c r="K288" i="4"/>
  <c r="L287" i="4"/>
  <c r="K287" i="4"/>
  <c r="L286" i="4"/>
  <c r="K286" i="4"/>
  <c r="L285" i="4"/>
  <c r="K285" i="4"/>
  <c r="L284" i="4"/>
  <c r="K284" i="4"/>
  <c r="L283" i="4"/>
  <c r="K283" i="4"/>
  <c r="L282" i="4"/>
  <c r="K282" i="4"/>
  <c r="L281" i="4"/>
  <c r="K281" i="4"/>
  <c r="L280" i="4"/>
  <c r="K280" i="4"/>
  <c r="L279" i="4"/>
  <c r="K279" i="4"/>
  <c r="L278" i="4"/>
  <c r="K278" i="4"/>
  <c r="L277" i="4"/>
  <c r="K277" i="4"/>
  <c r="L276" i="4"/>
  <c r="K276" i="4"/>
  <c r="L275" i="4"/>
  <c r="K275" i="4"/>
  <c r="L274" i="4"/>
  <c r="K274" i="4"/>
  <c r="L273" i="4"/>
  <c r="K273" i="4"/>
  <c r="L272" i="4"/>
  <c r="K272" i="4"/>
  <c r="L271" i="4"/>
  <c r="K271" i="4"/>
  <c r="L270" i="4"/>
  <c r="K270" i="4"/>
  <c r="L269" i="4"/>
  <c r="K269" i="4"/>
  <c r="L268" i="4"/>
  <c r="K268" i="4"/>
  <c r="L267" i="4"/>
  <c r="K267" i="4"/>
  <c r="L266" i="4"/>
  <c r="K266" i="4"/>
  <c r="L265" i="4"/>
  <c r="K265" i="4"/>
  <c r="L264" i="4"/>
  <c r="K264" i="4"/>
  <c r="L263" i="4"/>
  <c r="K263" i="4"/>
  <c r="L262" i="4"/>
  <c r="K262" i="4"/>
  <c r="L261" i="4"/>
  <c r="K261" i="4"/>
  <c r="L260" i="4"/>
  <c r="K260" i="4"/>
  <c r="L259" i="4"/>
  <c r="K259" i="4"/>
  <c r="L258" i="4"/>
  <c r="K258" i="4"/>
  <c r="L257" i="4"/>
  <c r="K257" i="4"/>
  <c r="L256" i="4"/>
  <c r="K256" i="4"/>
  <c r="L255" i="4"/>
  <c r="K255" i="4"/>
  <c r="L254" i="4"/>
  <c r="K254" i="4"/>
  <c r="L253" i="4"/>
  <c r="K253" i="4"/>
  <c r="L252" i="4"/>
  <c r="K252" i="4"/>
  <c r="L251" i="4"/>
  <c r="K251" i="4"/>
  <c r="L250" i="4"/>
  <c r="K250" i="4"/>
  <c r="L249" i="4"/>
  <c r="K249" i="4"/>
  <c r="L248" i="4"/>
  <c r="K248" i="4"/>
  <c r="L247" i="4"/>
  <c r="K247" i="4"/>
  <c r="L246" i="4"/>
  <c r="K246" i="4"/>
  <c r="L245" i="4"/>
  <c r="K245" i="4"/>
  <c r="L244" i="4"/>
  <c r="K244" i="4"/>
  <c r="L243" i="4"/>
  <c r="K243" i="4"/>
  <c r="L242" i="4"/>
  <c r="K242" i="4"/>
  <c r="L241" i="4"/>
  <c r="K241" i="4"/>
  <c r="L240" i="4"/>
  <c r="K240" i="4"/>
  <c r="L239" i="4"/>
  <c r="K239" i="4"/>
  <c r="L238" i="4"/>
  <c r="K238" i="4"/>
  <c r="L237" i="4"/>
  <c r="K237" i="4"/>
  <c r="L236" i="4"/>
  <c r="K236" i="4"/>
  <c r="L235" i="4"/>
  <c r="K235" i="4"/>
  <c r="L234" i="4"/>
  <c r="K234" i="4"/>
  <c r="L233" i="4"/>
  <c r="K233" i="4"/>
  <c r="L232" i="4"/>
  <c r="K232" i="4"/>
  <c r="L231" i="4"/>
  <c r="K231" i="4"/>
  <c r="L230" i="4"/>
  <c r="K230" i="4"/>
  <c r="L229" i="4"/>
  <c r="K229" i="4"/>
  <c r="L228" i="4"/>
  <c r="K228" i="4"/>
  <c r="L227" i="4"/>
  <c r="K227" i="4"/>
  <c r="L226" i="4"/>
  <c r="K226" i="4"/>
  <c r="L225" i="4"/>
  <c r="K225" i="4"/>
  <c r="L224" i="4"/>
  <c r="K224" i="4"/>
  <c r="L223" i="4"/>
  <c r="K223" i="4"/>
  <c r="L222" i="4"/>
  <c r="K222" i="4"/>
  <c r="L221" i="4"/>
  <c r="K221" i="4"/>
  <c r="L220" i="4"/>
  <c r="K220" i="4"/>
  <c r="L219" i="4"/>
  <c r="K219" i="4"/>
  <c r="L218" i="4"/>
  <c r="K218" i="4"/>
  <c r="L217" i="4"/>
  <c r="K217" i="4"/>
  <c r="L216" i="4"/>
  <c r="K216" i="4"/>
  <c r="L215" i="4"/>
  <c r="K215" i="4"/>
  <c r="L214" i="4"/>
  <c r="K214" i="4"/>
  <c r="L213" i="4"/>
  <c r="K213" i="4"/>
  <c r="L212" i="4"/>
  <c r="K212" i="4"/>
  <c r="L211" i="4"/>
  <c r="K211" i="4"/>
  <c r="L210" i="4"/>
  <c r="K210" i="4"/>
  <c r="L209" i="4"/>
  <c r="K209" i="4"/>
  <c r="L208" i="4"/>
  <c r="K208" i="4"/>
  <c r="L207" i="4"/>
  <c r="K207" i="4"/>
  <c r="L206" i="4"/>
  <c r="K206" i="4"/>
  <c r="L205" i="4"/>
  <c r="K205" i="4"/>
  <c r="L204" i="4"/>
  <c r="K204" i="4"/>
  <c r="L203" i="4"/>
  <c r="K203" i="4"/>
  <c r="L202" i="4"/>
  <c r="K202" i="4"/>
  <c r="L201" i="4"/>
  <c r="K201" i="4"/>
  <c r="L200" i="4"/>
  <c r="K200" i="4"/>
  <c r="L199" i="4"/>
  <c r="K199" i="4"/>
  <c r="L198" i="4"/>
  <c r="K198" i="4"/>
  <c r="L197" i="4"/>
  <c r="K197" i="4"/>
  <c r="L196" i="4"/>
  <c r="K196" i="4"/>
  <c r="L195" i="4"/>
  <c r="K195" i="4"/>
  <c r="L194" i="4"/>
  <c r="K194" i="4"/>
  <c r="L193" i="4"/>
  <c r="K193" i="4"/>
  <c r="L192" i="4"/>
  <c r="K192" i="4"/>
  <c r="L191" i="4"/>
  <c r="K191" i="4"/>
  <c r="L190" i="4"/>
  <c r="K190" i="4"/>
  <c r="L189" i="4"/>
  <c r="K189" i="4"/>
  <c r="L188" i="4"/>
  <c r="K188" i="4"/>
  <c r="L187" i="4"/>
  <c r="K187" i="4"/>
  <c r="L186" i="4"/>
  <c r="K186" i="4"/>
  <c r="L185" i="4"/>
  <c r="K185" i="4"/>
  <c r="L184" i="4"/>
  <c r="K184" i="4"/>
  <c r="L183" i="4"/>
  <c r="K183" i="4"/>
  <c r="L182" i="4"/>
  <c r="K182" i="4"/>
  <c r="L181" i="4"/>
  <c r="K181" i="4"/>
  <c r="L180" i="4"/>
  <c r="K180" i="4"/>
  <c r="L179" i="4"/>
  <c r="K179" i="4"/>
  <c r="L178" i="4"/>
  <c r="K178" i="4"/>
  <c r="L177" i="4"/>
  <c r="K177" i="4"/>
  <c r="L176" i="4"/>
  <c r="K176" i="4"/>
  <c r="L175" i="4"/>
  <c r="K175" i="4"/>
  <c r="L174" i="4"/>
  <c r="K174" i="4"/>
  <c r="L173" i="4"/>
  <c r="K173" i="4"/>
  <c r="L172" i="4"/>
  <c r="K172" i="4"/>
  <c r="L171" i="4"/>
  <c r="K171" i="4"/>
  <c r="L170" i="4"/>
  <c r="K170" i="4"/>
  <c r="L169" i="4"/>
  <c r="K169" i="4"/>
  <c r="L168" i="4"/>
  <c r="K168" i="4"/>
  <c r="L167" i="4"/>
  <c r="K167" i="4"/>
  <c r="L166" i="4"/>
  <c r="K166" i="4"/>
  <c r="L165" i="4"/>
  <c r="K165" i="4"/>
  <c r="L164" i="4"/>
  <c r="K164" i="4"/>
  <c r="L163" i="4"/>
  <c r="K163" i="4"/>
  <c r="L162" i="4"/>
  <c r="K162" i="4"/>
  <c r="L161" i="4"/>
  <c r="K161" i="4"/>
  <c r="L160" i="4"/>
  <c r="K160" i="4"/>
  <c r="L159" i="4"/>
  <c r="K159" i="4"/>
  <c r="L158" i="4"/>
  <c r="K158" i="4"/>
  <c r="L157" i="4"/>
  <c r="K157" i="4"/>
  <c r="L156" i="4"/>
  <c r="K156" i="4"/>
  <c r="L155" i="4"/>
  <c r="K155" i="4"/>
  <c r="L154" i="4"/>
  <c r="K154" i="4"/>
  <c r="L153" i="4"/>
  <c r="K153" i="4"/>
  <c r="L152" i="4"/>
  <c r="K152" i="4"/>
  <c r="L151" i="4"/>
  <c r="K151" i="4"/>
  <c r="L150" i="4"/>
  <c r="K150" i="4"/>
  <c r="L149" i="4"/>
  <c r="K149" i="4"/>
  <c r="L148" i="4"/>
  <c r="K148" i="4"/>
  <c r="L147" i="4"/>
  <c r="K147" i="4"/>
  <c r="L146" i="4"/>
  <c r="K146" i="4"/>
  <c r="L145" i="4"/>
  <c r="K145" i="4"/>
  <c r="L144" i="4"/>
  <c r="K144" i="4"/>
  <c r="L143" i="4"/>
  <c r="K143" i="4"/>
  <c r="L142" i="4"/>
  <c r="K142" i="4"/>
  <c r="L141" i="4"/>
  <c r="K141" i="4"/>
  <c r="L140" i="4"/>
  <c r="K140" i="4"/>
  <c r="L139" i="4"/>
  <c r="K139" i="4"/>
  <c r="L138" i="4"/>
  <c r="K138" i="4"/>
  <c r="L137" i="4"/>
  <c r="K137" i="4"/>
  <c r="L136" i="4"/>
  <c r="K136" i="4"/>
  <c r="L135" i="4"/>
  <c r="K135" i="4"/>
  <c r="L134" i="4"/>
  <c r="K134" i="4"/>
  <c r="L133" i="4"/>
  <c r="K133" i="4"/>
  <c r="L132" i="4"/>
  <c r="K132" i="4"/>
  <c r="L131" i="4"/>
  <c r="K131" i="4"/>
  <c r="L130" i="4"/>
  <c r="K130" i="4"/>
  <c r="L129" i="4"/>
  <c r="K129" i="4"/>
  <c r="L128" i="4"/>
  <c r="K128" i="4"/>
  <c r="L127" i="4"/>
  <c r="K127" i="4"/>
  <c r="L126" i="4"/>
  <c r="K126" i="4"/>
  <c r="L125" i="4"/>
  <c r="K125" i="4"/>
  <c r="L124" i="4"/>
  <c r="K124" i="4"/>
  <c r="L123" i="4"/>
  <c r="K123" i="4"/>
  <c r="L122" i="4"/>
  <c r="K122" i="4"/>
  <c r="L121" i="4"/>
  <c r="K121" i="4"/>
  <c r="L120" i="4"/>
  <c r="K120" i="4"/>
  <c r="L119" i="4"/>
  <c r="K119" i="4"/>
  <c r="L118" i="4"/>
  <c r="K118" i="4"/>
  <c r="L117" i="4"/>
  <c r="K117" i="4"/>
  <c r="L116" i="4"/>
  <c r="K116" i="4"/>
  <c r="L115" i="4"/>
  <c r="K115" i="4"/>
  <c r="L114" i="4"/>
  <c r="K114" i="4"/>
  <c r="L113" i="4"/>
  <c r="K113" i="4"/>
  <c r="L112" i="4"/>
  <c r="K112" i="4"/>
  <c r="L111" i="4"/>
  <c r="K111" i="4"/>
  <c r="L110" i="4"/>
  <c r="K110" i="4"/>
  <c r="L109" i="4"/>
  <c r="K109" i="4"/>
  <c r="L108" i="4"/>
  <c r="K108" i="4"/>
  <c r="L107" i="4"/>
  <c r="K107" i="4"/>
  <c r="L106" i="4"/>
  <c r="K106" i="4"/>
  <c r="L105" i="4"/>
  <c r="K105" i="4"/>
  <c r="L104" i="4"/>
  <c r="K104" i="4"/>
  <c r="L103" i="4"/>
  <c r="K103" i="4"/>
  <c r="L102" i="4"/>
  <c r="K102" i="4"/>
  <c r="L101" i="4"/>
  <c r="K101" i="4"/>
  <c r="L100" i="4"/>
  <c r="K100" i="4"/>
  <c r="L99" i="4"/>
  <c r="K99" i="4"/>
  <c r="L98" i="4"/>
  <c r="K98" i="4"/>
  <c r="L97" i="4"/>
  <c r="K97" i="4"/>
  <c r="L96" i="4"/>
  <c r="K96" i="4"/>
  <c r="L95" i="4"/>
  <c r="K95" i="4"/>
  <c r="L94" i="4"/>
  <c r="K94" i="4"/>
  <c r="L93" i="4"/>
  <c r="K93" i="4"/>
  <c r="L92" i="4"/>
  <c r="K92" i="4"/>
  <c r="L91" i="4"/>
  <c r="K91" i="4"/>
  <c r="L90" i="4"/>
  <c r="K90" i="4"/>
  <c r="L89" i="4"/>
  <c r="K89" i="4"/>
  <c r="L88" i="4"/>
  <c r="K88" i="4"/>
  <c r="L87" i="4"/>
  <c r="K87" i="4"/>
  <c r="L86" i="4"/>
  <c r="K86" i="4"/>
  <c r="L85" i="4"/>
  <c r="K85" i="4"/>
  <c r="L84" i="4"/>
  <c r="K84" i="4"/>
  <c r="L83" i="4"/>
  <c r="K83" i="4"/>
  <c r="L82" i="4"/>
  <c r="K82" i="4"/>
  <c r="L81" i="4"/>
  <c r="K81" i="4"/>
  <c r="L80" i="4"/>
  <c r="K80" i="4"/>
  <c r="L79" i="4"/>
  <c r="K79" i="4"/>
  <c r="L78" i="4"/>
  <c r="K78" i="4"/>
  <c r="L77" i="4"/>
  <c r="K77" i="4"/>
  <c r="L76" i="4"/>
  <c r="K76" i="4"/>
  <c r="L75" i="4"/>
  <c r="K75" i="4"/>
  <c r="L74" i="4"/>
  <c r="K74" i="4"/>
  <c r="L73" i="4"/>
  <c r="K73" i="4"/>
  <c r="L72" i="4"/>
  <c r="K72" i="4"/>
  <c r="L71" i="4"/>
  <c r="K71" i="4"/>
  <c r="L70" i="4"/>
  <c r="K70" i="4"/>
  <c r="L69" i="4"/>
  <c r="K69" i="4"/>
  <c r="L68" i="4"/>
  <c r="K68" i="4"/>
  <c r="L67" i="4"/>
  <c r="K67" i="4"/>
  <c r="L66" i="4"/>
  <c r="K66" i="4"/>
  <c r="L65" i="4"/>
  <c r="K65" i="4"/>
  <c r="L64" i="4"/>
  <c r="K64" i="4"/>
  <c r="L63" i="4"/>
  <c r="K63" i="4"/>
  <c r="L62" i="4"/>
  <c r="K62" i="4"/>
  <c r="L61" i="4"/>
  <c r="K61" i="4"/>
  <c r="L60" i="4"/>
  <c r="K60" i="4"/>
  <c r="L59" i="4"/>
  <c r="K59" i="4"/>
  <c r="L58" i="4"/>
  <c r="K58" i="4"/>
  <c r="L57" i="4"/>
  <c r="K57" i="4"/>
  <c r="L56" i="4"/>
  <c r="K56" i="4"/>
  <c r="L55" i="4"/>
  <c r="K55" i="4"/>
  <c r="L54" i="4"/>
  <c r="K54" i="4"/>
  <c r="L53" i="4"/>
  <c r="K53" i="4"/>
  <c r="L52" i="4"/>
  <c r="K52" i="4"/>
  <c r="L51" i="4"/>
  <c r="K51" i="4"/>
  <c r="L50" i="4"/>
  <c r="K50" i="4"/>
  <c r="L49" i="4"/>
  <c r="K49" i="4"/>
  <c r="L48" i="4"/>
  <c r="K48" i="4"/>
  <c r="L47" i="4"/>
  <c r="K47" i="4"/>
  <c r="L46" i="4"/>
  <c r="K46" i="4"/>
  <c r="L45" i="4"/>
  <c r="K45" i="4"/>
  <c r="L44" i="4"/>
  <c r="K44" i="4"/>
  <c r="L43" i="4"/>
  <c r="K43" i="4"/>
  <c r="L42" i="4"/>
  <c r="K42" i="4"/>
  <c r="L41" i="4"/>
  <c r="K41" i="4"/>
  <c r="L40" i="4"/>
  <c r="K40" i="4"/>
  <c r="L39" i="4"/>
  <c r="K39" i="4"/>
  <c r="L38" i="4"/>
  <c r="K38" i="4"/>
  <c r="L37" i="4"/>
  <c r="K37" i="4"/>
  <c r="L36" i="4"/>
  <c r="K36" i="4"/>
  <c r="L35" i="4"/>
  <c r="K35" i="4"/>
  <c r="L34" i="4"/>
  <c r="K34" i="4"/>
  <c r="L33" i="4"/>
  <c r="K33" i="4"/>
  <c r="L32" i="4"/>
  <c r="K32" i="4"/>
  <c r="L31" i="4"/>
  <c r="K31" i="4"/>
  <c r="L30" i="4"/>
  <c r="K30" i="4"/>
  <c r="L29" i="4"/>
  <c r="K29" i="4"/>
  <c r="L28" i="4"/>
  <c r="K28" i="4"/>
  <c r="L27" i="4"/>
  <c r="K27" i="4"/>
  <c r="L26" i="4"/>
  <c r="K26" i="4"/>
  <c r="L25" i="4"/>
  <c r="K25" i="4"/>
  <c r="L24" i="4"/>
  <c r="K24" i="4"/>
  <c r="L23" i="4"/>
  <c r="K23" i="4"/>
  <c r="L22" i="4"/>
  <c r="K22" i="4"/>
  <c r="L21" i="4"/>
  <c r="K21" i="4"/>
  <c r="L20" i="4"/>
  <c r="K20" i="4"/>
  <c r="L19" i="4"/>
  <c r="K19" i="4"/>
  <c r="L18" i="4"/>
  <c r="K18" i="4"/>
  <c r="L17" i="4"/>
  <c r="K17" i="4"/>
  <c r="L16" i="4"/>
  <c r="K16" i="4"/>
  <c r="L15" i="4"/>
  <c r="K15" i="4"/>
  <c r="L14" i="4"/>
  <c r="K14" i="4"/>
  <c r="L13" i="4"/>
  <c r="K13" i="4"/>
  <c r="L12" i="4"/>
  <c r="K12" i="4"/>
  <c r="L11" i="4"/>
  <c r="K11" i="4"/>
  <c r="L10" i="4"/>
  <c r="K10" i="4"/>
  <c r="L9" i="4"/>
  <c r="K9" i="4"/>
  <c r="L8" i="4"/>
  <c r="K8" i="4"/>
  <c r="L7" i="4"/>
  <c r="K7" i="4"/>
  <c r="L6" i="4"/>
  <c r="K6" i="4"/>
  <c r="L5" i="4"/>
  <c r="K5" i="4"/>
  <c r="L4" i="4"/>
  <c r="K4" i="4"/>
  <c r="L688" i="3"/>
  <c r="K688" i="3"/>
  <c r="L687" i="3"/>
  <c r="K687" i="3"/>
  <c r="L686" i="3"/>
  <c r="K686" i="3"/>
  <c r="L685" i="3"/>
  <c r="K685" i="3"/>
  <c r="L684" i="3"/>
  <c r="K684" i="3"/>
  <c r="L683" i="3"/>
  <c r="K683" i="3"/>
  <c r="L682" i="3"/>
  <c r="K682" i="3"/>
  <c r="L681" i="3"/>
  <c r="K681" i="3"/>
  <c r="L680" i="3"/>
  <c r="K680" i="3"/>
  <c r="L679" i="3"/>
  <c r="K679" i="3"/>
  <c r="L678" i="3"/>
  <c r="K678" i="3"/>
  <c r="L677" i="3"/>
  <c r="K677" i="3"/>
  <c r="L676" i="3"/>
  <c r="K676" i="3"/>
  <c r="L675" i="3"/>
  <c r="K675" i="3"/>
  <c r="L674" i="3"/>
  <c r="K674" i="3"/>
  <c r="L673" i="3"/>
  <c r="K673" i="3"/>
  <c r="L672" i="3"/>
  <c r="K672" i="3"/>
  <c r="L671" i="3"/>
  <c r="K671" i="3"/>
  <c r="L670" i="3"/>
  <c r="K670" i="3"/>
  <c r="L669" i="3"/>
  <c r="K669" i="3"/>
  <c r="L668" i="3"/>
  <c r="K668" i="3"/>
  <c r="L667" i="3"/>
  <c r="K667" i="3"/>
  <c r="L666" i="3"/>
  <c r="K666" i="3"/>
  <c r="L665" i="3"/>
  <c r="K665" i="3"/>
  <c r="L664" i="3"/>
  <c r="K664" i="3"/>
  <c r="L663" i="3"/>
  <c r="K663" i="3"/>
  <c r="L662" i="3"/>
  <c r="K662" i="3"/>
  <c r="L661" i="3"/>
  <c r="K661" i="3"/>
  <c r="L660" i="3"/>
  <c r="K660" i="3"/>
  <c r="L659" i="3"/>
  <c r="K659" i="3"/>
  <c r="L658" i="3"/>
  <c r="K658" i="3"/>
  <c r="L657" i="3"/>
  <c r="K657" i="3"/>
  <c r="L656" i="3"/>
  <c r="K656" i="3"/>
  <c r="L655" i="3"/>
  <c r="K655" i="3"/>
  <c r="L654" i="3"/>
  <c r="K654" i="3"/>
  <c r="L653" i="3"/>
  <c r="K653" i="3"/>
  <c r="L652" i="3"/>
  <c r="K652" i="3"/>
  <c r="L651" i="3"/>
  <c r="K651" i="3"/>
  <c r="L650" i="3"/>
  <c r="K650" i="3"/>
  <c r="L649" i="3"/>
  <c r="K649" i="3"/>
  <c r="L648" i="3"/>
  <c r="K648" i="3"/>
  <c r="L647" i="3"/>
  <c r="K647" i="3"/>
  <c r="L646" i="3"/>
  <c r="K646" i="3"/>
  <c r="L645" i="3"/>
  <c r="K645" i="3"/>
  <c r="L644" i="3"/>
  <c r="K644" i="3"/>
  <c r="L643" i="3"/>
  <c r="K643" i="3"/>
  <c r="L642" i="3"/>
  <c r="K642" i="3"/>
  <c r="L641" i="3"/>
  <c r="K641" i="3"/>
  <c r="L640" i="3"/>
  <c r="K640" i="3"/>
  <c r="L639" i="3"/>
  <c r="K639" i="3"/>
  <c r="L638" i="3"/>
  <c r="K638" i="3"/>
  <c r="L637" i="3"/>
  <c r="K637" i="3"/>
  <c r="L636" i="3"/>
  <c r="K636" i="3"/>
  <c r="L635" i="3"/>
  <c r="K635" i="3"/>
  <c r="L634" i="3"/>
  <c r="K634" i="3"/>
  <c r="L633" i="3"/>
  <c r="K633" i="3"/>
  <c r="L632" i="3"/>
  <c r="K632" i="3"/>
  <c r="L631" i="3"/>
  <c r="K631" i="3"/>
  <c r="L630" i="3"/>
  <c r="K630" i="3"/>
  <c r="L629" i="3"/>
  <c r="K629" i="3"/>
  <c r="L628" i="3"/>
  <c r="K628" i="3"/>
  <c r="L627" i="3"/>
  <c r="K627" i="3"/>
  <c r="L626" i="3"/>
  <c r="K626" i="3"/>
  <c r="L625" i="3"/>
  <c r="K625" i="3"/>
  <c r="L624" i="3"/>
  <c r="K624" i="3"/>
  <c r="L623" i="3"/>
  <c r="K623" i="3"/>
  <c r="L622" i="3"/>
  <c r="K622" i="3"/>
  <c r="L621" i="3"/>
  <c r="K621" i="3"/>
  <c r="L620" i="3"/>
  <c r="K620" i="3"/>
  <c r="L619" i="3"/>
  <c r="K619" i="3"/>
  <c r="L618" i="3"/>
  <c r="K618" i="3"/>
  <c r="L617" i="3"/>
  <c r="K617" i="3"/>
  <c r="L616" i="3"/>
  <c r="K616" i="3"/>
  <c r="L615" i="3"/>
  <c r="K615" i="3"/>
  <c r="L614" i="3"/>
  <c r="K614" i="3"/>
  <c r="L613" i="3"/>
  <c r="K613" i="3"/>
  <c r="L612" i="3"/>
  <c r="K612" i="3"/>
  <c r="L611" i="3"/>
  <c r="K611" i="3"/>
  <c r="L610" i="3"/>
  <c r="K610" i="3"/>
  <c r="L609" i="3"/>
  <c r="K609" i="3"/>
  <c r="L608" i="3"/>
  <c r="K608" i="3"/>
  <c r="L607" i="3"/>
  <c r="K607" i="3"/>
  <c r="L606" i="3"/>
  <c r="K606" i="3"/>
  <c r="L605" i="3"/>
  <c r="K605" i="3"/>
  <c r="L604" i="3"/>
  <c r="K604" i="3"/>
  <c r="L603" i="3"/>
  <c r="K603" i="3"/>
  <c r="L602" i="3"/>
  <c r="K602" i="3"/>
  <c r="L601" i="3"/>
  <c r="K601" i="3"/>
  <c r="L600" i="3"/>
  <c r="K600" i="3"/>
  <c r="L599" i="3"/>
  <c r="K599" i="3"/>
  <c r="L598" i="3"/>
  <c r="K598" i="3"/>
  <c r="L597" i="3"/>
  <c r="K597" i="3"/>
  <c r="L596" i="3"/>
  <c r="K596" i="3"/>
  <c r="L595" i="3"/>
  <c r="K595" i="3"/>
  <c r="L594" i="3"/>
  <c r="K594" i="3"/>
  <c r="L593" i="3"/>
  <c r="K593" i="3"/>
  <c r="L592" i="3"/>
  <c r="K592" i="3"/>
  <c r="L591" i="3"/>
  <c r="K591" i="3"/>
  <c r="L590" i="3"/>
  <c r="K590" i="3"/>
  <c r="L589" i="3"/>
  <c r="K589" i="3"/>
  <c r="L588" i="3"/>
  <c r="K588" i="3"/>
  <c r="L587" i="3"/>
  <c r="K587" i="3"/>
  <c r="L586" i="3"/>
  <c r="K586" i="3"/>
  <c r="L585" i="3"/>
  <c r="K585" i="3"/>
  <c r="L584" i="3"/>
  <c r="K584" i="3"/>
  <c r="L583" i="3"/>
  <c r="K583" i="3"/>
  <c r="L582" i="3"/>
  <c r="K582" i="3"/>
  <c r="L581" i="3"/>
  <c r="K581" i="3"/>
  <c r="L580" i="3"/>
  <c r="K580" i="3"/>
  <c r="L579" i="3"/>
  <c r="K579" i="3"/>
  <c r="L578" i="3"/>
  <c r="K578" i="3"/>
  <c r="L577" i="3"/>
  <c r="K577" i="3"/>
  <c r="L576" i="3"/>
  <c r="K576" i="3"/>
  <c r="L575" i="3"/>
  <c r="K575" i="3"/>
  <c r="L574" i="3"/>
  <c r="K574" i="3"/>
  <c r="L573" i="3"/>
  <c r="K573" i="3"/>
  <c r="L572" i="3"/>
  <c r="K572" i="3"/>
  <c r="L571" i="3"/>
  <c r="K571" i="3"/>
  <c r="L570" i="3"/>
  <c r="K570" i="3"/>
  <c r="L569" i="3"/>
  <c r="K569" i="3"/>
  <c r="L568" i="3"/>
  <c r="K568" i="3"/>
  <c r="L567" i="3"/>
  <c r="K567" i="3"/>
  <c r="L566" i="3"/>
  <c r="K566" i="3"/>
  <c r="L565" i="3"/>
  <c r="K565" i="3"/>
  <c r="L564" i="3"/>
  <c r="K564" i="3"/>
  <c r="L563" i="3"/>
  <c r="K563" i="3"/>
  <c r="L562" i="3"/>
  <c r="K562" i="3"/>
  <c r="L561" i="3"/>
  <c r="K561" i="3"/>
  <c r="L560" i="3"/>
  <c r="K560" i="3"/>
  <c r="L559" i="3"/>
  <c r="K559" i="3"/>
  <c r="L558" i="3"/>
  <c r="K558" i="3"/>
  <c r="L557" i="3"/>
  <c r="K557" i="3"/>
  <c r="L556" i="3"/>
  <c r="K556" i="3"/>
  <c r="L555" i="3"/>
  <c r="K555" i="3"/>
  <c r="L554" i="3"/>
  <c r="K554" i="3"/>
  <c r="L553" i="3"/>
  <c r="K553" i="3"/>
  <c r="L552" i="3"/>
  <c r="K552" i="3"/>
  <c r="L551" i="3"/>
  <c r="K551" i="3"/>
  <c r="L550" i="3"/>
  <c r="K550" i="3"/>
  <c r="L549" i="3"/>
  <c r="K549" i="3"/>
  <c r="L548" i="3"/>
  <c r="K548" i="3"/>
  <c r="L547" i="3"/>
  <c r="K547" i="3"/>
  <c r="L546" i="3"/>
  <c r="K546" i="3"/>
  <c r="L545" i="3"/>
  <c r="K545" i="3"/>
  <c r="L544" i="3"/>
  <c r="K544" i="3"/>
  <c r="L543" i="3"/>
  <c r="K543" i="3"/>
  <c r="L542" i="3"/>
  <c r="K542" i="3"/>
  <c r="L541" i="3"/>
  <c r="K541" i="3"/>
  <c r="L540" i="3"/>
  <c r="K540" i="3"/>
  <c r="L539" i="3"/>
  <c r="K539" i="3"/>
  <c r="L538" i="3"/>
  <c r="K538" i="3"/>
  <c r="L537" i="3"/>
  <c r="K537" i="3"/>
  <c r="L536" i="3"/>
  <c r="K536" i="3"/>
  <c r="L535" i="3"/>
  <c r="K535" i="3"/>
  <c r="L534" i="3"/>
  <c r="K534" i="3"/>
  <c r="L533" i="3"/>
  <c r="K533" i="3"/>
  <c r="L532" i="3"/>
  <c r="K532" i="3"/>
  <c r="L531" i="3"/>
  <c r="K531" i="3"/>
  <c r="L530" i="3"/>
  <c r="K530" i="3"/>
  <c r="L529" i="3"/>
  <c r="K529" i="3"/>
  <c r="L528" i="3"/>
  <c r="K528" i="3"/>
  <c r="L527" i="3"/>
  <c r="K527" i="3"/>
  <c r="L526" i="3"/>
  <c r="K526" i="3"/>
  <c r="L525" i="3"/>
  <c r="K525" i="3"/>
  <c r="L524" i="3"/>
  <c r="K524" i="3"/>
  <c r="L523" i="3"/>
  <c r="K523" i="3"/>
  <c r="L522" i="3"/>
  <c r="K522" i="3"/>
  <c r="L521" i="3"/>
  <c r="K521" i="3"/>
  <c r="L520" i="3"/>
  <c r="K520" i="3"/>
  <c r="L519" i="3"/>
  <c r="K519" i="3"/>
  <c r="L518" i="3"/>
  <c r="K518" i="3"/>
  <c r="L517" i="3"/>
  <c r="K517" i="3"/>
  <c r="L516" i="3"/>
  <c r="K516" i="3"/>
  <c r="L515" i="3"/>
  <c r="K515" i="3"/>
  <c r="L514" i="3"/>
  <c r="K514" i="3"/>
  <c r="L513" i="3"/>
  <c r="K513" i="3"/>
  <c r="L512" i="3"/>
  <c r="K512" i="3"/>
  <c r="L511" i="3"/>
  <c r="K511" i="3"/>
  <c r="L510" i="3"/>
  <c r="K510" i="3"/>
  <c r="L509" i="3"/>
  <c r="K509" i="3"/>
  <c r="L508" i="3"/>
  <c r="K508" i="3"/>
  <c r="L507" i="3"/>
  <c r="K507" i="3"/>
  <c r="L506" i="3"/>
  <c r="K506" i="3"/>
  <c r="L505" i="3"/>
  <c r="K505" i="3"/>
  <c r="L504" i="3"/>
  <c r="K504" i="3"/>
  <c r="L503" i="3"/>
  <c r="K503" i="3"/>
  <c r="L502" i="3"/>
  <c r="K502" i="3"/>
  <c r="L501" i="3"/>
  <c r="K501" i="3"/>
  <c r="L500" i="3"/>
  <c r="K500" i="3"/>
  <c r="L499" i="3"/>
  <c r="K499" i="3"/>
  <c r="L498" i="3"/>
  <c r="K498" i="3"/>
  <c r="L497" i="3"/>
  <c r="K497" i="3"/>
  <c r="L496" i="3"/>
  <c r="K496" i="3"/>
  <c r="L495" i="3"/>
  <c r="K495" i="3"/>
  <c r="L494" i="3"/>
  <c r="K494" i="3"/>
  <c r="L493" i="3"/>
  <c r="K493" i="3"/>
  <c r="L492" i="3"/>
  <c r="K492" i="3"/>
  <c r="L491" i="3"/>
  <c r="K491" i="3"/>
  <c r="L490" i="3"/>
  <c r="K490" i="3"/>
  <c r="L489" i="3"/>
  <c r="K489" i="3"/>
  <c r="L488" i="3"/>
  <c r="K488" i="3"/>
  <c r="L487" i="3"/>
  <c r="K487" i="3"/>
  <c r="L486" i="3"/>
  <c r="K486" i="3"/>
  <c r="L485" i="3"/>
  <c r="K485" i="3"/>
  <c r="L484" i="3"/>
  <c r="K484" i="3"/>
  <c r="L483" i="3"/>
  <c r="K483" i="3"/>
  <c r="L482" i="3"/>
  <c r="K482" i="3"/>
  <c r="L481" i="3"/>
  <c r="K481" i="3"/>
  <c r="L480" i="3"/>
  <c r="K480" i="3"/>
  <c r="L479" i="3"/>
  <c r="K479" i="3"/>
  <c r="L478" i="3"/>
  <c r="K478" i="3"/>
  <c r="L477" i="3"/>
  <c r="K477" i="3"/>
  <c r="L476" i="3"/>
  <c r="K476" i="3"/>
  <c r="L475" i="3"/>
  <c r="K475" i="3"/>
  <c r="L474" i="3"/>
  <c r="K474" i="3"/>
  <c r="L473" i="3"/>
  <c r="K473" i="3"/>
  <c r="L472" i="3"/>
  <c r="K472" i="3"/>
  <c r="L471" i="3"/>
  <c r="K471" i="3"/>
  <c r="L470" i="3"/>
  <c r="K470" i="3"/>
  <c r="L469" i="3"/>
  <c r="K469" i="3"/>
  <c r="L468" i="3"/>
  <c r="K468" i="3"/>
  <c r="L467" i="3"/>
  <c r="K467" i="3"/>
  <c r="L466" i="3"/>
  <c r="K466" i="3"/>
  <c r="L465" i="3"/>
  <c r="K465" i="3"/>
  <c r="L464" i="3"/>
  <c r="K464" i="3"/>
  <c r="L463" i="3"/>
  <c r="K463" i="3"/>
  <c r="L462" i="3"/>
  <c r="K462" i="3"/>
  <c r="L461" i="3"/>
  <c r="K461" i="3"/>
  <c r="L460" i="3"/>
  <c r="K460" i="3"/>
  <c r="L459" i="3"/>
  <c r="K459" i="3"/>
  <c r="L458" i="3"/>
  <c r="K458" i="3"/>
  <c r="L457" i="3"/>
  <c r="K457" i="3"/>
  <c r="L456" i="3"/>
  <c r="K456" i="3"/>
  <c r="L455" i="3"/>
  <c r="K455" i="3"/>
  <c r="L454" i="3"/>
  <c r="K454" i="3"/>
  <c r="L453" i="3"/>
  <c r="K453" i="3"/>
  <c r="L452" i="3"/>
  <c r="K452" i="3"/>
  <c r="L451" i="3"/>
  <c r="K451" i="3"/>
  <c r="L450" i="3"/>
  <c r="K450" i="3"/>
  <c r="L449" i="3"/>
  <c r="K449" i="3"/>
  <c r="L448" i="3"/>
  <c r="K448" i="3"/>
  <c r="L447" i="3"/>
  <c r="K447" i="3"/>
  <c r="L446" i="3"/>
  <c r="K446" i="3"/>
  <c r="L445" i="3"/>
  <c r="K445" i="3"/>
  <c r="L444" i="3"/>
  <c r="K444" i="3"/>
  <c r="L443" i="3"/>
  <c r="K443" i="3"/>
  <c r="L442" i="3"/>
  <c r="K442" i="3"/>
  <c r="L441" i="3"/>
  <c r="K441" i="3"/>
  <c r="L440" i="3"/>
  <c r="K440" i="3"/>
  <c r="L439" i="3"/>
  <c r="K439" i="3"/>
  <c r="L438" i="3"/>
  <c r="K438" i="3"/>
  <c r="L437" i="3"/>
  <c r="K437" i="3"/>
  <c r="L436" i="3"/>
  <c r="K436" i="3"/>
  <c r="L435" i="3"/>
  <c r="K435" i="3"/>
  <c r="L434" i="3"/>
  <c r="K434" i="3"/>
  <c r="L433" i="3"/>
  <c r="K433" i="3"/>
  <c r="L432" i="3"/>
  <c r="K432" i="3"/>
  <c r="L431" i="3"/>
  <c r="K431" i="3"/>
  <c r="L430" i="3"/>
  <c r="K430" i="3"/>
  <c r="L429" i="3"/>
  <c r="K429" i="3"/>
  <c r="L428" i="3"/>
  <c r="K428" i="3"/>
  <c r="L427" i="3"/>
  <c r="K427" i="3"/>
  <c r="L426" i="3"/>
  <c r="K426" i="3"/>
  <c r="L425" i="3"/>
  <c r="K425" i="3"/>
  <c r="L424" i="3"/>
  <c r="K424" i="3"/>
  <c r="L423" i="3"/>
  <c r="K423" i="3"/>
  <c r="L422" i="3"/>
  <c r="K422" i="3"/>
  <c r="L421" i="3"/>
  <c r="K421" i="3"/>
  <c r="L420" i="3"/>
  <c r="K420" i="3"/>
  <c r="L419" i="3"/>
  <c r="K419" i="3"/>
  <c r="L418" i="3"/>
  <c r="K418" i="3"/>
  <c r="L417" i="3"/>
  <c r="K417" i="3"/>
  <c r="L416" i="3"/>
  <c r="K416" i="3"/>
  <c r="L415" i="3"/>
  <c r="K415" i="3"/>
  <c r="L414" i="3"/>
  <c r="K414" i="3"/>
  <c r="L413" i="3"/>
  <c r="K413" i="3"/>
  <c r="L412" i="3"/>
  <c r="K412" i="3"/>
  <c r="L411" i="3"/>
  <c r="K411" i="3"/>
  <c r="L410" i="3"/>
  <c r="K410" i="3"/>
  <c r="L409" i="3"/>
  <c r="K409" i="3"/>
  <c r="L408" i="3"/>
  <c r="K408" i="3"/>
  <c r="L407" i="3"/>
  <c r="K407" i="3"/>
  <c r="L406" i="3"/>
  <c r="K406" i="3"/>
  <c r="L405" i="3"/>
  <c r="K405" i="3"/>
  <c r="L404" i="3"/>
  <c r="K404" i="3"/>
  <c r="L403" i="3"/>
  <c r="K403" i="3"/>
  <c r="L402" i="3"/>
  <c r="K402" i="3"/>
  <c r="L401" i="3"/>
  <c r="K401" i="3"/>
  <c r="L400" i="3"/>
  <c r="K400" i="3"/>
  <c r="L399" i="3"/>
  <c r="K399" i="3"/>
  <c r="L398" i="3"/>
  <c r="K398" i="3"/>
  <c r="L397" i="3"/>
  <c r="K397" i="3"/>
  <c r="L396" i="3"/>
  <c r="K396" i="3"/>
  <c r="L395" i="3"/>
  <c r="K395" i="3"/>
  <c r="L394" i="3"/>
  <c r="K394" i="3"/>
  <c r="L393" i="3"/>
  <c r="K393" i="3"/>
  <c r="L392" i="3"/>
  <c r="K392" i="3"/>
  <c r="L391" i="3"/>
  <c r="K391" i="3"/>
  <c r="L390" i="3"/>
  <c r="K390" i="3"/>
  <c r="L389" i="3"/>
  <c r="K389" i="3"/>
  <c r="L388" i="3"/>
  <c r="K388" i="3"/>
  <c r="L387" i="3"/>
  <c r="K387" i="3"/>
  <c r="L386" i="3"/>
  <c r="K386" i="3"/>
  <c r="L385" i="3"/>
  <c r="K385" i="3"/>
  <c r="L384" i="3"/>
  <c r="K384" i="3"/>
  <c r="L383" i="3"/>
  <c r="K383" i="3"/>
  <c r="L382" i="3"/>
  <c r="K382" i="3"/>
  <c r="L381" i="3"/>
  <c r="K381" i="3"/>
  <c r="L380" i="3"/>
  <c r="K380" i="3"/>
  <c r="L379" i="3"/>
  <c r="K379" i="3"/>
  <c r="L378" i="3"/>
  <c r="K378" i="3"/>
  <c r="L377" i="3"/>
  <c r="K377" i="3"/>
  <c r="L376" i="3"/>
  <c r="K376" i="3"/>
  <c r="L375" i="3"/>
  <c r="K375" i="3"/>
  <c r="L374" i="3"/>
  <c r="K374" i="3"/>
  <c r="L373" i="3"/>
  <c r="K373" i="3"/>
  <c r="L372" i="3"/>
  <c r="K372" i="3"/>
  <c r="L371" i="3"/>
  <c r="K371" i="3"/>
  <c r="L370" i="3"/>
  <c r="K370" i="3"/>
  <c r="L369" i="3"/>
  <c r="K369" i="3"/>
  <c r="L368" i="3"/>
  <c r="K368" i="3"/>
  <c r="L367" i="3"/>
  <c r="K367" i="3"/>
  <c r="L366" i="3"/>
  <c r="K366" i="3"/>
  <c r="L365" i="3"/>
  <c r="K365" i="3"/>
  <c r="L364" i="3"/>
  <c r="K364" i="3"/>
  <c r="L363" i="3"/>
  <c r="K363" i="3"/>
  <c r="L362" i="3"/>
  <c r="K362" i="3"/>
  <c r="L361" i="3"/>
  <c r="K361" i="3"/>
  <c r="L360" i="3"/>
  <c r="K360" i="3"/>
  <c r="L359" i="3"/>
  <c r="K359" i="3"/>
  <c r="L358" i="3"/>
  <c r="K358" i="3"/>
  <c r="L357" i="3"/>
  <c r="K357" i="3"/>
  <c r="L356" i="3"/>
  <c r="K356" i="3"/>
  <c r="L355" i="3"/>
  <c r="K355" i="3"/>
  <c r="L354" i="3"/>
  <c r="K354" i="3"/>
  <c r="L353" i="3"/>
  <c r="K353" i="3"/>
  <c r="L352" i="3"/>
  <c r="K352" i="3"/>
  <c r="L351" i="3"/>
  <c r="K351" i="3"/>
  <c r="L350" i="3"/>
  <c r="K350" i="3"/>
  <c r="L349" i="3"/>
  <c r="K349" i="3"/>
  <c r="L348" i="3"/>
  <c r="K348" i="3"/>
  <c r="L347" i="3"/>
  <c r="K347" i="3"/>
  <c r="L346" i="3"/>
  <c r="K346" i="3"/>
  <c r="L345" i="3"/>
  <c r="K345" i="3"/>
  <c r="L344" i="3"/>
  <c r="K344" i="3"/>
  <c r="L343" i="3"/>
  <c r="K343" i="3"/>
  <c r="L342" i="3"/>
  <c r="K342" i="3"/>
  <c r="L341" i="3"/>
  <c r="K341" i="3"/>
  <c r="L340" i="3"/>
  <c r="K340" i="3"/>
  <c r="L339" i="3"/>
  <c r="K339" i="3"/>
  <c r="L338" i="3"/>
  <c r="K338" i="3"/>
  <c r="L337" i="3"/>
  <c r="K337" i="3"/>
  <c r="L336" i="3"/>
  <c r="K336" i="3"/>
  <c r="L335" i="3"/>
  <c r="K335" i="3"/>
  <c r="L334" i="3"/>
  <c r="K334" i="3"/>
  <c r="L333" i="3"/>
  <c r="K333" i="3"/>
  <c r="L332" i="3"/>
  <c r="K332" i="3"/>
  <c r="L331" i="3"/>
  <c r="K331" i="3"/>
  <c r="L330" i="3"/>
  <c r="K330" i="3"/>
  <c r="L329" i="3"/>
  <c r="K329" i="3"/>
  <c r="L328" i="3"/>
  <c r="K328" i="3"/>
  <c r="L327" i="3"/>
  <c r="K327" i="3"/>
  <c r="L326" i="3"/>
  <c r="K326" i="3"/>
  <c r="L325" i="3"/>
  <c r="K325" i="3"/>
  <c r="L324" i="3"/>
  <c r="K324" i="3"/>
  <c r="L323" i="3"/>
  <c r="K323" i="3"/>
  <c r="L322" i="3"/>
  <c r="K322" i="3"/>
  <c r="L321" i="3"/>
  <c r="K321" i="3"/>
  <c r="L320" i="3"/>
  <c r="K320" i="3"/>
  <c r="L319" i="3"/>
  <c r="K319" i="3"/>
  <c r="L318" i="3"/>
  <c r="K318" i="3"/>
  <c r="L317" i="3"/>
  <c r="K317" i="3"/>
  <c r="L316" i="3"/>
  <c r="K316" i="3"/>
  <c r="L315" i="3"/>
  <c r="K315" i="3"/>
  <c r="L314" i="3"/>
  <c r="K314" i="3"/>
  <c r="L313" i="3"/>
  <c r="K313" i="3"/>
  <c r="L312" i="3"/>
  <c r="K312" i="3"/>
  <c r="L311" i="3"/>
  <c r="K311" i="3"/>
  <c r="L310" i="3"/>
  <c r="K310" i="3"/>
  <c r="L309" i="3"/>
  <c r="K309" i="3"/>
  <c r="L308" i="3"/>
  <c r="K308" i="3"/>
  <c r="L307" i="3"/>
  <c r="K307" i="3"/>
  <c r="L306" i="3"/>
  <c r="K306" i="3"/>
  <c r="L305" i="3"/>
  <c r="K305" i="3"/>
  <c r="L304" i="3"/>
  <c r="K304" i="3"/>
  <c r="L303" i="3"/>
  <c r="K303" i="3"/>
  <c r="L302" i="3"/>
  <c r="K302" i="3"/>
  <c r="L301" i="3"/>
  <c r="K301" i="3"/>
  <c r="L300" i="3"/>
  <c r="K300" i="3"/>
  <c r="L299" i="3"/>
  <c r="K299" i="3"/>
  <c r="L298" i="3"/>
  <c r="K298" i="3"/>
  <c r="L297" i="3"/>
  <c r="K297" i="3"/>
  <c r="L296" i="3"/>
  <c r="K296" i="3"/>
  <c r="L295" i="3"/>
  <c r="K295" i="3"/>
  <c r="L294" i="3"/>
  <c r="K294" i="3"/>
  <c r="L293" i="3"/>
  <c r="K293" i="3"/>
  <c r="L292" i="3"/>
  <c r="K292" i="3"/>
  <c r="L291" i="3"/>
  <c r="K291" i="3"/>
  <c r="L290" i="3"/>
  <c r="K290" i="3"/>
  <c r="L289" i="3"/>
  <c r="K289" i="3"/>
  <c r="L288" i="3"/>
  <c r="K288" i="3"/>
  <c r="L287" i="3"/>
  <c r="K287" i="3"/>
  <c r="L286" i="3"/>
  <c r="K286" i="3"/>
  <c r="L285" i="3"/>
  <c r="K285" i="3"/>
  <c r="L284" i="3"/>
  <c r="K284" i="3"/>
  <c r="L283" i="3"/>
  <c r="K283" i="3"/>
  <c r="L282" i="3"/>
  <c r="K282" i="3"/>
  <c r="L281" i="3"/>
  <c r="K281" i="3"/>
  <c r="L280" i="3"/>
  <c r="K280" i="3"/>
  <c r="L279" i="3"/>
  <c r="K279" i="3"/>
  <c r="L278" i="3"/>
  <c r="K278" i="3"/>
  <c r="L277" i="3"/>
  <c r="K277" i="3"/>
  <c r="L276" i="3"/>
  <c r="K276" i="3"/>
  <c r="L275" i="3"/>
  <c r="K275" i="3"/>
  <c r="L274" i="3"/>
  <c r="K274" i="3"/>
  <c r="L273" i="3"/>
  <c r="K273" i="3"/>
  <c r="L272" i="3"/>
  <c r="K272" i="3"/>
  <c r="L271" i="3"/>
  <c r="K271" i="3"/>
  <c r="L270" i="3"/>
  <c r="K270" i="3"/>
  <c r="L269" i="3"/>
  <c r="K269" i="3"/>
  <c r="L268" i="3"/>
  <c r="K268" i="3"/>
  <c r="L267" i="3"/>
  <c r="K267" i="3"/>
  <c r="L266" i="3"/>
  <c r="K266" i="3"/>
  <c r="L265" i="3"/>
  <c r="K265" i="3"/>
  <c r="L264" i="3"/>
  <c r="K264" i="3"/>
  <c r="L263" i="3"/>
  <c r="K263" i="3"/>
  <c r="L262" i="3"/>
  <c r="K262" i="3"/>
  <c r="L261" i="3"/>
  <c r="K261" i="3"/>
  <c r="L260" i="3"/>
  <c r="K260" i="3"/>
  <c r="L259" i="3"/>
  <c r="K259" i="3"/>
  <c r="L258" i="3"/>
  <c r="K258" i="3"/>
  <c r="L257" i="3"/>
  <c r="K257" i="3"/>
  <c r="L256" i="3"/>
  <c r="K256" i="3"/>
  <c r="L255" i="3"/>
  <c r="K255" i="3"/>
  <c r="L254" i="3"/>
  <c r="K254" i="3"/>
  <c r="L253" i="3"/>
  <c r="K253" i="3"/>
  <c r="L252" i="3"/>
  <c r="K252" i="3"/>
  <c r="L251" i="3"/>
  <c r="K251" i="3"/>
  <c r="L250" i="3"/>
  <c r="K250" i="3"/>
  <c r="L249" i="3"/>
  <c r="K249" i="3"/>
  <c r="L248" i="3"/>
  <c r="K248" i="3"/>
  <c r="L247" i="3"/>
  <c r="K247" i="3"/>
  <c r="L246" i="3"/>
  <c r="K246" i="3"/>
  <c r="L245" i="3"/>
  <c r="K245" i="3"/>
  <c r="L244" i="3"/>
  <c r="K244" i="3"/>
  <c r="L243" i="3"/>
  <c r="K243" i="3"/>
  <c r="L242" i="3"/>
  <c r="K242" i="3"/>
  <c r="L241" i="3"/>
  <c r="K241" i="3"/>
  <c r="L240" i="3"/>
  <c r="K240" i="3"/>
  <c r="L239" i="3"/>
  <c r="K239" i="3"/>
  <c r="L238" i="3"/>
  <c r="K238" i="3"/>
  <c r="L237" i="3"/>
  <c r="K237" i="3"/>
  <c r="L236" i="3"/>
  <c r="K236" i="3"/>
  <c r="L235" i="3"/>
  <c r="K235" i="3"/>
  <c r="L234" i="3"/>
  <c r="K234" i="3"/>
  <c r="L233" i="3"/>
  <c r="K233" i="3"/>
  <c r="L232" i="3"/>
  <c r="K232" i="3"/>
  <c r="L231" i="3"/>
  <c r="K231" i="3"/>
  <c r="L230" i="3"/>
  <c r="K230" i="3"/>
  <c r="L229" i="3"/>
  <c r="K229" i="3"/>
  <c r="L228" i="3"/>
  <c r="K228" i="3"/>
  <c r="L227" i="3"/>
  <c r="K227" i="3"/>
  <c r="L226" i="3"/>
  <c r="K226" i="3"/>
  <c r="L225" i="3"/>
  <c r="K225" i="3"/>
  <c r="L224" i="3"/>
  <c r="K224" i="3"/>
  <c r="L223" i="3"/>
  <c r="K223" i="3"/>
  <c r="L222" i="3"/>
  <c r="K222" i="3"/>
  <c r="L221" i="3"/>
  <c r="K221" i="3"/>
  <c r="L220" i="3"/>
  <c r="K220" i="3"/>
  <c r="L219" i="3"/>
  <c r="K219" i="3"/>
  <c r="L218" i="3"/>
  <c r="K218" i="3"/>
  <c r="L217" i="3"/>
  <c r="K217" i="3"/>
  <c r="L216" i="3"/>
  <c r="K216" i="3"/>
  <c r="L215" i="3"/>
  <c r="K215" i="3"/>
  <c r="L214" i="3"/>
  <c r="K214" i="3"/>
  <c r="L213" i="3"/>
  <c r="K213" i="3"/>
  <c r="L212" i="3"/>
  <c r="K212" i="3"/>
  <c r="L211" i="3"/>
  <c r="K211" i="3"/>
  <c r="L210" i="3"/>
  <c r="K210" i="3"/>
  <c r="L209" i="3"/>
  <c r="K209" i="3"/>
  <c r="L208" i="3"/>
  <c r="K208" i="3"/>
  <c r="L207" i="3"/>
  <c r="K207" i="3"/>
  <c r="L206" i="3"/>
  <c r="K206" i="3"/>
  <c r="L205" i="3"/>
  <c r="K205" i="3"/>
  <c r="L204" i="3"/>
  <c r="K204" i="3"/>
  <c r="L203" i="3"/>
  <c r="K203" i="3"/>
  <c r="L202" i="3"/>
  <c r="K202" i="3"/>
  <c r="L201" i="3"/>
  <c r="K201" i="3"/>
  <c r="L200" i="3"/>
  <c r="K200" i="3"/>
  <c r="L199" i="3"/>
  <c r="K199" i="3"/>
  <c r="L198" i="3"/>
  <c r="K198" i="3"/>
  <c r="L197" i="3"/>
  <c r="K197" i="3"/>
  <c r="L196" i="3"/>
  <c r="K196" i="3"/>
  <c r="L195" i="3"/>
  <c r="K195" i="3"/>
  <c r="L194" i="3"/>
  <c r="K194" i="3"/>
  <c r="L193" i="3"/>
  <c r="K193" i="3"/>
  <c r="L192" i="3"/>
  <c r="K192" i="3"/>
  <c r="L191" i="3"/>
  <c r="K191" i="3"/>
  <c r="L190" i="3"/>
  <c r="K190" i="3"/>
  <c r="L189" i="3"/>
  <c r="K189" i="3"/>
  <c r="L188" i="3"/>
  <c r="K188" i="3"/>
  <c r="L187" i="3"/>
  <c r="K187" i="3"/>
  <c r="L186" i="3"/>
  <c r="K186" i="3"/>
  <c r="L185" i="3"/>
  <c r="K185" i="3"/>
  <c r="L184" i="3"/>
  <c r="K184" i="3"/>
  <c r="L183" i="3"/>
  <c r="K183" i="3"/>
  <c r="L182" i="3"/>
  <c r="K182" i="3"/>
  <c r="L181" i="3"/>
  <c r="K181" i="3"/>
  <c r="L180" i="3"/>
  <c r="K180" i="3"/>
  <c r="L179" i="3"/>
  <c r="K179" i="3"/>
  <c r="L178" i="3"/>
  <c r="K178" i="3"/>
  <c r="L177" i="3"/>
  <c r="K177" i="3"/>
  <c r="L176" i="3"/>
  <c r="K176" i="3"/>
  <c r="L175" i="3"/>
  <c r="K175" i="3"/>
  <c r="L174" i="3"/>
  <c r="K174" i="3"/>
  <c r="L173" i="3"/>
  <c r="K173" i="3"/>
  <c r="L172" i="3"/>
  <c r="K172" i="3"/>
  <c r="L171" i="3"/>
  <c r="K171" i="3"/>
  <c r="L170" i="3"/>
  <c r="K170" i="3"/>
  <c r="L169" i="3"/>
  <c r="K169" i="3"/>
  <c r="L168" i="3"/>
  <c r="K168" i="3"/>
  <c r="L167" i="3"/>
  <c r="K167" i="3"/>
  <c r="L166" i="3"/>
  <c r="K166" i="3"/>
  <c r="L165" i="3"/>
  <c r="K165" i="3"/>
  <c r="L164" i="3"/>
  <c r="K164" i="3"/>
  <c r="L163" i="3"/>
  <c r="K163" i="3"/>
  <c r="L162" i="3"/>
  <c r="K162" i="3"/>
  <c r="L161" i="3"/>
  <c r="K161" i="3"/>
  <c r="L160" i="3"/>
  <c r="K160" i="3"/>
  <c r="L159" i="3"/>
  <c r="K159" i="3"/>
  <c r="L158" i="3"/>
  <c r="K158" i="3"/>
  <c r="L157" i="3"/>
  <c r="K157" i="3"/>
  <c r="L156" i="3"/>
  <c r="K156" i="3"/>
  <c r="L155" i="3"/>
  <c r="K155" i="3"/>
  <c r="L154" i="3"/>
  <c r="K154" i="3"/>
  <c r="L153" i="3"/>
  <c r="K153" i="3"/>
  <c r="L152" i="3"/>
  <c r="K152" i="3"/>
  <c r="L151" i="3"/>
  <c r="K151" i="3"/>
  <c r="L150" i="3"/>
  <c r="K150" i="3"/>
  <c r="L149" i="3"/>
  <c r="K149" i="3"/>
  <c r="L148" i="3"/>
  <c r="K148" i="3"/>
  <c r="L147" i="3"/>
  <c r="K147" i="3"/>
  <c r="L146" i="3"/>
  <c r="K146" i="3"/>
  <c r="L145" i="3"/>
  <c r="K145" i="3"/>
  <c r="L144" i="3"/>
  <c r="K144" i="3"/>
  <c r="L143" i="3"/>
  <c r="K143" i="3"/>
  <c r="L142" i="3"/>
  <c r="K142" i="3"/>
  <c r="L141" i="3"/>
  <c r="K141" i="3"/>
  <c r="L140" i="3"/>
  <c r="K140" i="3"/>
  <c r="L139" i="3"/>
  <c r="K139" i="3"/>
  <c r="L138" i="3"/>
  <c r="K138" i="3"/>
  <c r="L137" i="3"/>
  <c r="K137" i="3"/>
  <c r="L136" i="3"/>
  <c r="K136" i="3"/>
  <c r="L135" i="3"/>
  <c r="K135" i="3"/>
  <c r="L134" i="3"/>
  <c r="K134" i="3"/>
  <c r="L133" i="3"/>
  <c r="K133" i="3"/>
  <c r="L132" i="3"/>
  <c r="K132" i="3"/>
  <c r="L131" i="3"/>
  <c r="K131" i="3"/>
  <c r="L130" i="3"/>
  <c r="K130" i="3"/>
  <c r="L129" i="3"/>
  <c r="K129" i="3"/>
  <c r="L128" i="3"/>
  <c r="K128" i="3"/>
  <c r="L127" i="3"/>
  <c r="K127" i="3"/>
  <c r="L126" i="3"/>
  <c r="K126" i="3"/>
  <c r="L125" i="3"/>
  <c r="K125" i="3"/>
  <c r="L124" i="3"/>
  <c r="K124" i="3"/>
  <c r="L123" i="3"/>
  <c r="K123" i="3"/>
  <c r="L122" i="3"/>
  <c r="K122" i="3"/>
  <c r="L121" i="3"/>
  <c r="K121" i="3"/>
  <c r="L120" i="3"/>
  <c r="K120" i="3"/>
  <c r="L119" i="3"/>
  <c r="K119" i="3"/>
  <c r="L118" i="3"/>
  <c r="K118" i="3"/>
  <c r="L117" i="3"/>
  <c r="K117" i="3"/>
  <c r="L116" i="3"/>
  <c r="K116" i="3"/>
  <c r="L115" i="3"/>
  <c r="K115" i="3"/>
  <c r="L114" i="3"/>
  <c r="K114" i="3"/>
  <c r="L113" i="3"/>
  <c r="K113" i="3"/>
  <c r="L112" i="3"/>
  <c r="K112" i="3"/>
  <c r="L111" i="3"/>
  <c r="K111" i="3"/>
  <c r="L110" i="3"/>
  <c r="K110" i="3"/>
  <c r="L109" i="3"/>
  <c r="K109" i="3"/>
  <c r="L108" i="3"/>
  <c r="K108" i="3"/>
  <c r="L107" i="3"/>
  <c r="K107" i="3"/>
  <c r="L106" i="3"/>
  <c r="K106" i="3"/>
  <c r="L105" i="3"/>
  <c r="K105" i="3"/>
  <c r="L104" i="3"/>
  <c r="K104" i="3"/>
  <c r="L103" i="3"/>
  <c r="K103" i="3"/>
  <c r="L102" i="3"/>
  <c r="K102" i="3"/>
  <c r="L101" i="3"/>
  <c r="K101" i="3"/>
  <c r="L100" i="3"/>
  <c r="K100" i="3"/>
  <c r="L99" i="3"/>
  <c r="K99" i="3"/>
  <c r="L98" i="3"/>
  <c r="K98" i="3"/>
  <c r="L97" i="3"/>
  <c r="K97" i="3"/>
  <c r="L96" i="3"/>
  <c r="K96" i="3"/>
  <c r="L95" i="3"/>
  <c r="K95" i="3"/>
  <c r="L94" i="3"/>
  <c r="K94" i="3"/>
  <c r="L93" i="3"/>
  <c r="K93" i="3"/>
  <c r="L92" i="3"/>
  <c r="K92" i="3"/>
  <c r="L91" i="3"/>
  <c r="K91" i="3"/>
  <c r="L90" i="3"/>
  <c r="K90" i="3"/>
  <c r="L89" i="3"/>
  <c r="K89" i="3"/>
  <c r="L88" i="3"/>
  <c r="K88" i="3"/>
  <c r="L87" i="3"/>
  <c r="K87" i="3"/>
  <c r="L86" i="3"/>
  <c r="K86" i="3"/>
  <c r="L85" i="3"/>
  <c r="K85" i="3"/>
  <c r="L84" i="3"/>
  <c r="K84" i="3"/>
  <c r="L83" i="3"/>
  <c r="K83" i="3"/>
  <c r="L82" i="3"/>
  <c r="K82" i="3"/>
  <c r="L81" i="3"/>
  <c r="K81" i="3"/>
  <c r="L80" i="3"/>
  <c r="K80" i="3"/>
  <c r="L79" i="3"/>
  <c r="K79" i="3"/>
  <c r="L78" i="3"/>
  <c r="K78" i="3"/>
  <c r="L77" i="3"/>
  <c r="K77" i="3"/>
  <c r="L76" i="3"/>
  <c r="K76" i="3"/>
  <c r="L75" i="3"/>
  <c r="K75" i="3"/>
  <c r="L74" i="3"/>
  <c r="K74" i="3"/>
  <c r="L73" i="3"/>
  <c r="K73" i="3"/>
  <c r="L72" i="3"/>
  <c r="K72" i="3"/>
  <c r="L71" i="3"/>
  <c r="K71" i="3"/>
  <c r="L70" i="3"/>
  <c r="K70" i="3"/>
  <c r="L69" i="3"/>
  <c r="K69" i="3"/>
  <c r="L68" i="3"/>
  <c r="K68" i="3"/>
  <c r="L67" i="3"/>
  <c r="K67" i="3"/>
  <c r="L66" i="3"/>
  <c r="K66" i="3"/>
  <c r="L65" i="3"/>
  <c r="K65" i="3"/>
  <c r="L64" i="3"/>
  <c r="K64" i="3"/>
  <c r="L63" i="3"/>
  <c r="K63" i="3"/>
  <c r="L62" i="3"/>
  <c r="K62" i="3"/>
  <c r="L61" i="3"/>
  <c r="K61" i="3"/>
  <c r="L60" i="3"/>
  <c r="K60" i="3"/>
  <c r="L59" i="3"/>
  <c r="K59" i="3"/>
  <c r="L58" i="3"/>
  <c r="K58" i="3"/>
  <c r="L57" i="3"/>
  <c r="K57" i="3"/>
  <c r="L56" i="3"/>
  <c r="K56" i="3"/>
  <c r="L55" i="3"/>
  <c r="K55" i="3"/>
  <c r="L54" i="3"/>
  <c r="K54" i="3"/>
  <c r="L53" i="3"/>
  <c r="K53" i="3"/>
  <c r="L52" i="3"/>
  <c r="K52" i="3"/>
  <c r="L51" i="3"/>
  <c r="K51" i="3"/>
  <c r="L50" i="3"/>
  <c r="K50" i="3"/>
  <c r="L49" i="3"/>
  <c r="K49" i="3"/>
  <c r="L48" i="3"/>
  <c r="K48" i="3"/>
  <c r="L47" i="3"/>
  <c r="K47" i="3"/>
  <c r="L46" i="3"/>
  <c r="K46" i="3"/>
  <c r="L45" i="3"/>
  <c r="K45" i="3"/>
  <c r="L44" i="3"/>
  <c r="K44" i="3"/>
  <c r="L43" i="3"/>
  <c r="K43" i="3"/>
  <c r="L42" i="3"/>
  <c r="K42" i="3"/>
  <c r="L41" i="3"/>
  <c r="K41" i="3"/>
  <c r="L40" i="3"/>
  <c r="K40" i="3"/>
  <c r="L39" i="3"/>
  <c r="K39" i="3"/>
  <c r="L38" i="3"/>
  <c r="K38" i="3"/>
  <c r="L37" i="3"/>
  <c r="K37" i="3"/>
  <c r="L36" i="3"/>
  <c r="K36" i="3"/>
  <c r="L35" i="3"/>
  <c r="K35" i="3"/>
  <c r="L34" i="3"/>
  <c r="K34" i="3"/>
  <c r="L33" i="3"/>
  <c r="K33" i="3"/>
  <c r="L32" i="3"/>
  <c r="K32" i="3"/>
  <c r="L31" i="3"/>
  <c r="K31" i="3"/>
  <c r="L30" i="3"/>
  <c r="K30" i="3"/>
  <c r="L29" i="3"/>
  <c r="K29" i="3"/>
  <c r="L28" i="3"/>
  <c r="K28" i="3"/>
  <c r="L27" i="3"/>
  <c r="K27" i="3"/>
  <c r="L26" i="3"/>
  <c r="K26" i="3"/>
  <c r="L25" i="3"/>
  <c r="K25" i="3"/>
  <c r="L24" i="3"/>
  <c r="K24" i="3"/>
  <c r="L23" i="3"/>
  <c r="K23" i="3"/>
  <c r="L22" i="3"/>
  <c r="K22" i="3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56" i="2"/>
  <c r="J656" i="2"/>
  <c r="J516" i="2"/>
  <c r="I516" i="2"/>
  <c r="J460" i="2"/>
  <c r="I460" i="2"/>
  <c r="J404" i="2"/>
  <c r="I404" i="2"/>
  <c r="J348" i="2"/>
  <c r="I348" i="2"/>
  <c r="J292" i="2"/>
  <c r="I292" i="2"/>
  <c r="J236" i="2"/>
  <c r="I236" i="2"/>
  <c r="J180" i="2"/>
  <c r="I180" i="2"/>
  <c r="J124" i="2"/>
  <c r="I124" i="2"/>
  <c r="J68" i="2"/>
  <c r="I68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I603" i="2"/>
  <c r="I599" i="2"/>
  <c r="I600" i="2"/>
  <c r="I601" i="2"/>
  <c r="I602" i="2"/>
  <c r="I596" i="2"/>
  <c r="I12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7" i="2"/>
  <c r="I598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4" i="2"/>
  <c r="J5" i="2"/>
  <c r="J6" i="2"/>
  <c r="J7" i="2"/>
  <c r="J8" i="2"/>
  <c r="J9" i="2"/>
  <c r="J10" i="2"/>
  <c r="J4" i="2"/>
</calcChain>
</file>

<file path=xl/sharedStrings.xml><?xml version="1.0" encoding="utf-8"?>
<sst xmlns="http://schemas.openxmlformats.org/spreadsheetml/2006/main" count="14829" uniqueCount="1620">
  <si>
    <t>Tag</t>
  </si>
  <si>
    <t>No</t>
  </si>
  <si>
    <t>Address</t>
  </si>
  <si>
    <t>DataType</t>
  </si>
  <si>
    <t>Description</t>
  </si>
  <si>
    <t>Pump1_FB_auto</t>
  </si>
  <si>
    <t>DB106.DBX0.0</t>
  </si>
  <si>
    <t>bool</t>
  </si>
  <si>
    <t>Pump1_FB_Run</t>
  </si>
  <si>
    <t>DB106.DBX0.1</t>
  </si>
  <si>
    <t>Pump1_FB_Fault_V</t>
  </si>
  <si>
    <t>DB106.DBX0.2</t>
  </si>
  <si>
    <t>Pump1_FB_Fault_SS</t>
  </si>
  <si>
    <t>DB106.DBX0.3</t>
  </si>
  <si>
    <t>Pump1_FB_Fault_Temp</t>
  </si>
  <si>
    <t>DB106.DBX0.4</t>
  </si>
  <si>
    <t>Pump1_FB_Fault_Curent</t>
  </si>
  <si>
    <t>DB106.DBX0.5</t>
  </si>
  <si>
    <t>Pump1_Clock_1m</t>
  </si>
  <si>
    <t>DB106.DBX0.6</t>
  </si>
  <si>
    <t>Pump1_FB_stop</t>
  </si>
  <si>
    <t>DB106.DBX0.7</t>
  </si>
  <si>
    <t>Pump1_FB_Temp_DEBearing</t>
  </si>
  <si>
    <t>DB106.DBW2</t>
  </si>
  <si>
    <t>int</t>
  </si>
  <si>
    <t>Pump1_FB_Temp_NDEBearing</t>
  </si>
  <si>
    <t>DB106.DBW4</t>
  </si>
  <si>
    <t>Pump1_FB_Temp_PhaseA</t>
  </si>
  <si>
    <t>DB106.DBW6</t>
  </si>
  <si>
    <t>Pump1_FB_Temp_PhaseB</t>
  </si>
  <si>
    <t>DB106.DBW8</t>
  </si>
  <si>
    <t>Pump1_FB_Temp_PhaseC</t>
  </si>
  <si>
    <t>DB106.DBW10</t>
  </si>
  <si>
    <t>Meter1_U1</t>
  </si>
  <si>
    <t>DB106.DBD12</t>
  </si>
  <si>
    <t>real</t>
  </si>
  <si>
    <t>Meter1_U2</t>
  </si>
  <si>
    <t>DB106.DBD16</t>
  </si>
  <si>
    <t>Meter1_U3</t>
  </si>
  <si>
    <t>DB106.DBD20</t>
  </si>
  <si>
    <t>Meter1_U_Ph</t>
  </si>
  <si>
    <t>DB106.DBD24</t>
  </si>
  <si>
    <t>Meter1_U12</t>
  </si>
  <si>
    <t>DB106.DBD28</t>
  </si>
  <si>
    <t>Meter1_U23</t>
  </si>
  <si>
    <t>DB106.DBD32</t>
  </si>
  <si>
    <t>Meter1_U31</t>
  </si>
  <si>
    <t>DB106.DBD36</t>
  </si>
  <si>
    <t>Meter1_Uline</t>
  </si>
  <si>
    <t>DB106.DBD40</t>
  </si>
  <si>
    <t>Meter1_I1</t>
  </si>
  <si>
    <t>DB106.DBD44</t>
  </si>
  <si>
    <t>Meter1_I2</t>
  </si>
  <si>
    <t>DB106.DBD48</t>
  </si>
  <si>
    <t>Meter1_I3</t>
  </si>
  <si>
    <t>DB106.DBD52</t>
  </si>
  <si>
    <t>Meter1_I_ph</t>
  </si>
  <si>
    <t>DB106.DBD56</t>
  </si>
  <si>
    <t>Meter1_kw1</t>
  </si>
  <si>
    <t>DB106.DBD60</t>
  </si>
  <si>
    <t>Meter1_kw2</t>
  </si>
  <si>
    <t>DB106.DBD64</t>
  </si>
  <si>
    <t>Meter1_kw3</t>
  </si>
  <si>
    <t>DB106.DBD68</t>
  </si>
  <si>
    <t>Meter1_kva1</t>
  </si>
  <si>
    <t>DB106.DBD72</t>
  </si>
  <si>
    <t>Meter1_kva2</t>
  </si>
  <si>
    <t>DB106.DBD76</t>
  </si>
  <si>
    <t>Meter1_kva3</t>
  </si>
  <si>
    <t>DB106.DBD80</t>
  </si>
  <si>
    <t>Meter1_kvar1</t>
  </si>
  <si>
    <t>DB106.DBD84</t>
  </si>
  <si>
    <t>Meter1_kvar2</t>
  </si>
  <si>
    <t>DB106.DBD88</t>
  </si>
  <si>
    <t>Meter1_kvar3</t>
  </si>
  <si>
    <t>DB106.DBD92</t>
  </si>
  <si>
    <t>Meter1_total_kw</t>
  </si>
  <si>
    <t>DB106.DBD96</t>
  </si>
  <si>
    <t>Meter1_total_kva</t>
  </si>
  <si>
    <t>DB106.DBD100</t>
  </si>
  <si>
    <t>Meter1_total_kvar</t>
  </si>
  <si>
    <t>DB106.DBD104</t>
  </si>
  <si>
    <t>Meter1_PF1</t>
  </si>
  <si>
    <t>DB106.DBD108</t>
  </si>
  <si>
    <t>Meter1_PF2</t>
  </si>
  <si>
    <t>DB106.DBD112</t>
  </si>
  <si>
    <t>Meter1_PF3</t>
  </si>
  <si>
    <t>DB106.DBD116</t>
  </si>
  <si>
    <t>Meter1_PF</t>
  </si>
  <si>
    <t>DB106.DBD120</t>
  </si>
  <si>
    <t>Meter1_freq</t>
  </si>
  <si>
    <t>DB106.DBD124</t>
  </si>
  <si>
    <t>Meter1_kwh</t>
  </si>
  <si>
    <t>DB106.DBD128</t>
  </si>
  <si>
    <t>Meter1_kvah</t>
  </si>
  <si>
    <t>DB106.DBD132</t>
  </si>
  <si>
    <t>Meter1_kvarh</t>
  </si>
  <si>
    <t>DB106.DBD136</t>
  </si>
  <si>
    <t>Pump1_Ctrl_run_Pump</t>
  </si>
  <si>
    <t>DB106.DBX140.0</t>
  </si>
  <si>
    <t>Pump1_FB_Fault</t>
  </si>
  <si>
    <t>DB106.DBX142.0</t>
  </si>
  <si>
    <t>Pump1_Ctrl_PB_Run</t>
  </si>
  <si>
    <t>DB106.DBX142.1</t>
  </si>
  <si>
    <t>Pump1_Ctrl_PB_Stop</t>
  </si>
  <si>
    <t>DB106.DBX142.2</t>
  </si>
  <si>
    <t>Pump1_Ctrl_PB_RST</t>
  </si>
  <si>
    <t>DB106.DBX142.3</t>
  </si>
  <si>
    <t>Pump1_Time_Run_M</t>
  </si>
  <si>
    <t>DB106.DBW144</t>
  </si>
  <si>
    <t>Pump1_Time_Run_H</t>
  </si>
  <si>
    <t>DB106.DBW146</t>
  </si>
  <si>
    <t>Pump1_Total_Time_Run_M</t>
  </si>
  <si>
    <t>DB106.DBW148</t>
  </si>
  <si>
    <t>Pump1_Total_Time_Run_H</t>
  </si>
  <si>
    <t>DB106.DBW150</t>
  </si>
  <si>
    <t>Pump1_NumberOfclose</t>
  </si>
  <si>
    <t>DB106.DBW152</t>
  </si>
  <si>
    <t>Pump2_FB_auto</t>
  </si>
  <si>
    <t>DB107.DBX0.0</t>
  </si>
  <si>
    <t>Pump2_FB_Run</t>
  </si>
  <si>
    <t>DB107.DBX0.1</t>
  </si>
  <si>
    <t>Pump2_FB_Fault_V</t>
  </si>
  <si>
    <t>DB107.DBX0.2</t>
  </si>
  <si>
    <t>Pump2_FB_Fault_SS</t>
  </si>
  <si>
    <t>DB107.DBX0.3</t>
  </si>
  <si>
    <t>Pump2_FB_Fault_Temp</t>
  </si>
  <si>
    <t>DB107.DBX0.4</t>
  </si>
  <si>
    <t>Pump2_FB_Fault_Curent</t>
  </si>
  <si>
    <t>DB107.DBX0.5</t>
  </si>
  <si>
    <t>Pump2_Clock_1m</t>
  </si>
  <si>
    <t>DB107.DBX0.6</t>
  </si>
  <si>
    <t>Pump2_FB_stop</t>
  </si>
  <si>
    <t>DB107.DBX0.7</t>
  </si>
  <si>
    <t>Pump2_FB_Temp_DEBearing</t>
  </si>
  <si>
    <t>DB107.DBW2</t>
  </si>
  <si>
    <t>Pump2_FB_Temp_NDEBearing</t>
  </si>
  <si>
    <t>DB107.DBW4</t>
  </si>
  <si>
    <t>Pump2_FB_Temp_PhaseA</t>
  </si>
  <si>
    <t>DB107.DBW6</t>
  </si>
  <si>
    <t>Pump2_FB_Temp_PhaseB</t>
  </si>
  <si>
    <t>DB107.DBW8</t>
  </si>
  <si>
    <t>Pump2_FB_Temp_PhaseC</t>
  </si>
  <si>
    <t>DB107.DBW10</t>
  </si>
  <si>
    <t>Meter2_U1</t>
  </si>
  <si>
    <t>DB107.DBD12</t>
  </si>
  <si>
    <t>Meter2_U2</t>
  </si>
  <si>
    <t>DB107.DBD16</t>
  </si>
  <si>
    <t>Meter2_U3</t>
  </si>
  <si>
    <t>DB107.DBD20</t>
  </si>
  <si>
    <t>Meter2_U_Ph</t>
  </si>
  <si>
    <t>DB107.DBD24</t>
  </si>
  <si>
    <t>Meter2_U12</t>
  </si>
  <si>
    <t>DB107.DBD28</t>
  </si>
  <si>
    <t>Meter2_U23</t>
  </si>
  <si>
    <t>DB107.DBD32</t>
  </si>
  <si>
    <t>Meter2_U31</t>
  </si>
  <si>
    <t>DB107.DBD36</t>
  </si>
  <si>
    <t>Meter2_Uline</t>
  </si>
  <si>
    <t>DB107.DBD40</t>
  </si>
  <si>
    <t>Meter2_I1</t>
  </si>
  <si>
    <t>DB107.DBD44</t>
  </si>
  <si>
    <t>Meter2_I2</t>
  </si>
  <si>
    <t>DB107.DBD48</t>
  </si>
  <si>
    <t>Meter2_I3</t>
  </si>
  <si>
    <t>DB107.DBD52</t>
  </si>
  <si>
    <t>Meter2_I_ph</t>
  </si>
  <si>
    <t>DB107.DBD56</t>
  </si>
  <si>
    <t>Meter2_kw1</t>
  </si>
  <si>
    <t>DB107.DBD60</t>
  </si>
  <si>
    <t>Meter2_kw2</t>
  </si>
  <si>
    <t>DB107.DBD64</t>
  </si>
  <si>
    <t>Meter2_kw3</t>
  </si>
  <si>
    <t>DB107.DBD68</t>
  </si>
  <si>
    <t>Meter2_kva1</t>
  </si>
  <si>
    <t>DB107.DBD72</t>
  </si>
  <si>
    <t>Meter2_kva2</t>
  </si>
  <si>
    <t>DB107.DBD76</t>
  </si>
  <si>
    <t>Meter2_kva3</t>
  </si>
  <si>
    <t>DB107.DBD80</t>
  </si>
  <si>
    <t>Meter2_kvar1</t>
  </si>
  <si>
    <t>DB107.DBD84</t>
  </si>
  <si>
    <t>Meter2_kvar2</t>
  </si>
  <si>
    <t>DB107.DBD88</t>
  </si>
  <si>
    <t>Meter2_kvar3</t>
  </si>
  <si>
    <t>DB107.DBD92</t>
  </si>
  <si>
    <t>Meter2_total_kw</t>
  </si>
  <si>
    <t>DB107.DBD96</t>
  </si>
  <si>
    <t>Meter2_total_kva</t>
  </si>
  <si>
    <t>DB107.DBD100</t>
  </si>
  <si>
    <t>Meter2_total_kvar</t>
  </si>
  <si>
    <t>DB107.DBD104</t>
  </si>
  <si>
    <t>Meter2_PF1</t>
  </si>
  <si>
    <t>DB107.DBD108</t>
  </si>
  <si>
    <t>Meter2_PF2</t>
  </si>
  <si>
    <t>DB107.DBD112</t>
  </si>
  <si>
    <t>Meter2_PF3</t>
  </si>
  <si>
    <t>DB107.DBD116</t>
  </si>
  <si>
    <t>Meter2_PF</t>
  </si>
  <si>
    <t>DB107.DBD120</t>
  </si>
  <si>
    <t>Meter2_freq</t>
  </si>
  <si>
    <t>DB107.DBD124</t>
  </si>
  <si>
    <t>Meter2_kwh</t>
  </si>
  <si>
    <t>DB107.DBD128</t>
  </si>
  <si>
    <t>Meter2_kvah</t>
  </si>
  <si>
    <t>DB107.DBD132</t>
  </si>
  <si>
    <t>Meter2_kvarh</t>
  </si>
  <si>
    <t>DB107.DBD136</t>
  </si>
  <si>
    <t>Pump2_Ctrl_run_Pump</t>
  </si>
  <si>
    <t>DB107.DBX140.0</t>
  </si>
  <si>
    <t>Pump2_FB_Fault</t>
  </si>
  <si>
    <t>DB107.DBX142.0</t>
  </si>
  <si>
    <t>Pump2_Ctrl_PB_Run</t>
  </si>
  <si>
    <t>DB107.DBX142.1</t>
  </si>
  <si>
    <t>Pump2_Ctrl_PB_Stop</t>
  </si>
  <si>
    <t>DB107.DBX142.2</t>
  </si>
  <si>
    <t>Pump2_Ctrl_PB_RST</t>
  </si>
  <si>
    <t>DB107.DBX142.3</t>
  </si>
  <si>
    <t>Pump2_Time_Run_M</t>
  </si>
  <si>
    <t>DB107.DBW144</t>
  </si>
  <si>
    <t>Pump2_Time_Run_H</t>
  </si>
  <si>
    <t>DB107.DBW146</t>
  </si>
  <si>
    <t>Pump2_Total_Time_Run_M</t>
  </si>
  <si>
    <t>DB107.DBW148</t>
  </si>
  <si>
    <t>Pump2_Total_Time_Run_H</t>
  </si>
  <si>
    <t>DB107.DBW150</t>
  </si>
  <si>
    <t>Pump2_NumberOfclose</t>
  </si>
  <si>
    <t>DB107.DBW152</t>
  </si>
  <si>
    <t>Pump3_FB_auto</t>
  </si>
  <si>
    <t>DB108.DBX0.0</t>
  </si>
  <si>
    <t>Pump3_FB_Run</t>
  </si>
  <si>
    <t>DB108.DBX0.1</t>
  </si>
  <si>
    <t>Pump3_FB_Fault_V</t>
  </si>
  <si>
    <t>DB108.DBX0.2</t>
  </si>
  <si>
    <t>Pump3_FB_Fault_SS</t>
  </si>
  <si>
    <t>DB108.DBX0.3</t>
  </si>
  <si>
    <t>Pump3_FB_Fault_Temp</t>
  </si>
  <si>
    <t>DB108.DBX0.4</t>
  </si>
  <si>
    <t>Pump3_FB_Fault_Curent</t>
  </si>
  <si>
    <t>DB108.DBX0.5</t>
  </si>
  <si>
    <t>Pump3_Clock_1m</t>
  </si>
  <si>
    <t>DB108.DBX0.6</t>
  </si>
  <si>
    <t>Pump3_FB_stop</t>
  </si>
  <si>
    <t>DB108.DBX0.7</t>
  </si>
  <si>
    <t>Pump3_FB_Temp_DEBearing</t>
  </si>
  <si>
    <t>DB108.DBW2</t>
  </si>
  <si>
    <t>Pump3_FB_Temp_NDEBearing</t>
  </si>
  <si>
    <t>DB108.DBW4</t>
  </si>
  <si>
    <t>Pump3_FB_Temp_PhaseA</t>
  </si>
  <si>
    <t>DB108.DBW6</t>
  </si>
  <si>
    <t>Pump3_FB_Temp_PhaseB</t>
  </si>
  <si>
    <t>DB108.DBW8</t>
  </si>
  <si>
    <t>Pump3_FB_Temp_PhaseC</t>
  </si>
  <si>
    <t>DB108.DBW10</t>
  </si>
  <si>
    <t>Meter3_U1</t>
  </si>
  <si>
    <t>DB108.DBD12</t>
  </si>
  <si>
    <t>Meter3_U2</t>
  </si>
  <si>
    <t>DB108.DBD16</t>
  </si>
  <si>
    <t>Meter3_U3</t>
  </si>
  <si>
    <t>DB108.DBD20</t>
  </si>
  <si>
    <t>Meter3_U_Ph</t>
  </si>
  <si>
    <t>DB108.DBD24</t>
  </si>
  <si>
    <t>Meter3_U12</t>
  </si>
  <si>
    <t>DB108.DBD28</t>
  </si>
  <si>
    <t>Meter3_U23</t>
  </si>
  <si>
    <t>DB108.DBD32</t>
  </si>
  <si>
    <t>Meter3_U31</t>
  </si>
  <si>
    <t>DB108.DBD36</t>
  </si>
  <si>
    <t>Meter3_Uline</t>
  </si>
  <si>
    <t>DB108.DBD40</t>
  </si>
  <si>
    <t>Meter3_I1</t>
  </si>
  <si>
    <t>DB108.DBD44</t>
  </si>
  <si>
    <t>Meter3_I2</t>
  </si>
  <si>
    <t>DB108.DBD48</t>
  </si>
  <si>
    <t>Meter3_I3</t>
  </si>
  <si>
    <t>DB108.DBD52</t>
  </si>
  <si>
    <t>Meter3_I_ph</t>
  </si>
  <si>
    <t>DB108.DBD56</t>
  </si>
  <si>
    <t>Meter3_kw1</t>
  </si>
  <si>
    <t>DB108.DBD60</t>
  </si>
  <si>
    <t>Meter3_kw2</t>
  </si>
  <si>
    <t>DB108.DBD64</t>
  </si>
  <si>
    <t>Meter3_kw3</t>
  </si>
  <si>
    <t>DB108.DBD68</t>
  </si>
  <si>
    <t>Meter3_kva1</t>
  </si>
  <si>
    <t>DB108.DBD72</t>
  </si>
  <si>
    <t>Meter3_kva2</t>
  </si>
  <si>
    <t>DB108.DBD76</t>
  </si>
  <si>
    <t>Meter3_kva3</t>
  </si>
  <si>
    <t>DB108.DBD80</t>
  </si>
  <si>
    <t>Meter3_kvar1</t>
  </si>
  <si>
    <t>DB108.DBD84</t>
  </si>
  <si>
    <t>Meter3_kvar2</t>
  </si>
  <si>
    <t>DB108.DBD88</t>
  </si>
  <si>
    <t>Meter3_kvar3</t>
  </si>
  <si>
    <t>DB108.DBD92</t>
  </si>
  <si>
    <t>Meter3_total_kw</t>
  </si>
  <si>
    <t>DB108.DBD96</t>
  </si>
  <si>
    <t>Meter3_total_kva</t>
  </si>
  <si>
    <t>DB108.DBD100</t>
  </si>
  <si>
    <t>Meter3_total_kvar</t>
  </si>
  <si>
    <t>DB108.DBD104</t>
  </si>
  <si>
    <t>Meter3_PF1</t>
  </si>
  <si>
    <t>DB108.DBD108</t>
  </si>
  <si>
    <t>Meter3_PF2</t>
  </si>
  <si>
    <t>DB108.DBD112</t>
  </si>
  <si>
    <t>Meter3_PF3</t>
  </si>
  <si>
    <t>DB108.DBD116</t>
  </si>
  <si>
    <t>Meter3_PF</t>
  </si>
  <si>
    <t>DB108.DBD120</t>
  </si>
  <si>
    <t>Meter3_freq</t>
  </si>
  <si>
    <t>DB108.DBD124</t>
  </si>
  <si>
    <t>Meter3_kwh</t>
  </si>
  <si>
    <t>DB108.DBD128</t>
  </si>
  <si>
    <t>Meter3_kvah</t>
  </si>
  <si>
    <t>DB108.DBD132</t>
  </si>
  <si>
    <t>Meter3_kvarh</t>
  </si>
  <si>
    <t>DB108.DBD136</t>
  </si>
  <si>
    <t>Pump3_Ctrl_run_Pump</t>
  </si>
  <si>
    <t>DB108.DBX140.0</t>
  </si>
  <si>
    <t>Pump3_FB_Fault</t>
  </si>
  <si>
    <t>DB108.DBX142.0</t>
  </si>
  <si>
    <t>Pump3_Ctrl_PB_Run</t>
  </si>
  <si>
    <t>DB108.DBX142.1</t>
  </si>
  <si>
    <t>Pump3_Ctrl_PB_Stop</t>
  </si>
  <si>
    <t>DB108.DBX142.2</t>
  </si>
  <si>
    <t>Pump3_Ctrl_PB_RST</t>
  </si>
  <si>
    <t>DB108.DBX142.3</t>
  </si>
  <si>
    <t>Pump3_Time_Run_M</t>
  </si>
  <si>
    <t>DB108.DBW144</t>
  </si>
  <si>
    <t>Pump3_Time_Run_H</t>
  </si>
  <si>
    <t>DB108.DBW146</t>
  </si>
  <si>
    <t>Pump3_Total_Time_Run_M</t>
  </si>
  <si>
    <t>DB108.DBW148</t>
  </si>
  <si>
    <t>Pump3_Total_Time_Run_H</t>
  </si>
  <si>
    <t>DB108.DBW150</t>
  </si>
  <si>
    <t>Pump3_NumberOfclose</t>
  </si>
  <si>
    <t>DB108.DBW152</t>
  </si>
  <si>
    <t>Pump4_FB_auto</t>
  </si>
  <si>
    <t>DB101.DBX0.0</t>
  </si>
  <si>
    <t>Pump4_FB_Run</t>
  </si>
  <si>
    <t>DB101.DBX0.1</t>
  </si>
  <si>
    <t>Pump4_FB_Fault_V</t>
  </si>
  <si>
    <t>DB101.DBX0.2</t>
  </si>
  <si>
    <t>Pump4_FB_Fault_SS</t>
  </si>
  <si>
    <t>DB101.DBX0.3</t>
  </si>
  <si>
    <t>Pump4_FB_Fault_Temp</t>
  </si>
  <si>
    <t>DB101.DBX0.4</t>
  </si>
  <si>
    <t>Pump4_FB_Fault_Curent</t>
  </si>
  <si>
    <t>DB101.DBX0.5</t>
  </si>
  <si>
    <t>Pump4_Clock_1m</t>
  </si>
  <si>
    <t>DB101.DBX0.6</t>
  </si>
  <si>
    <t>Pump4_FB_stop</t>
  </si>
  <si>
    <t>DB101.DBX0.7</t>
  </si>
  <si>
    <t>Pump4_FB_Temp_DEBearing</t>
  </si>
  <si>
    <t>DB101.DBW2</t>
  </si>
  <si>
    <t>Pump4_FB_Temp_NDEBearing</t>
  </si>
  <si>
    <t>DB101.DBW4</t>
  </si>
  <si>
    <t>Pump4_FB_Temp_PhaseA</t>
  </si>
  <si>
    <t>DB101.DBW6</t>
  </si>
  <si>
    <t>Pump4_FB_Temp_PhaseB</t>
  </si>
  <si>
    <t>DB101.DBW8</t>
  </si>
  <si>
    <t>Pump4_FB_Temp_PhaseC</t>
  </si>
  <si>
    <t>DB101.DBW10</t>
  </si>
  <si>
    <t>Meter4_U1</t>
  </si>
  <si>
    <t>DB101.DBD12</t>
  </si>
  <si>
    <t>Meter4_U2</t>
  </si>
  <si>
    <t>DB101.DBD16</t>
  </si>
  <si>
    <t>Meter4_U3</t>
  </si>
  <si>
    <t>DB101.DBD20</t>
  </si>
  <si>
    <t>Meter4_U_Ph</t>
  </si>
  <si>
    <t>DB101.DBD24</t>
  </si>
  <si>
    <t>Meter4_U12</t>
  </si>
  <si>
    <t>DB101.DBD28</t>
  </si>
  <si>
    <t>Meter4_U23</t>
  </si>
  <si>
    <t>DB101.DBD32</t>
  </si>
  <si>
    <t>Meter4_U31</t>
  </si>
  <si>
    <t>DB101.DBD36</t>
  </si>
  <si>
    <t>Meter4_Uline</t>
  </si>
  <si>
    <t>DB101.DBD40</t>
  </si>
  <si>
    <t>Meter4_I1</t>
  </si>
  <si>
    <t>DB101.DBD44</t>
  </si>
  <si>
    <t>Meter4_I2</t>
  </si>
  <si>
    <t>DB101.DBD48</t>
  </si>
  <si>
    <t>Meter4_I3</t>
  </si>
  <si>
    <t>DB101.DBD52</t>
  </si>
  <si>
    <t>Meter4_I_ph</t>
  </si>
  <si>
    <t>DB101.DBD56</t>
  </si>
  <si>
    <t>Meter4_kw1</t>
  </si>
  <si>
    <t>DB101.DBD60</t>
  </si>
  <si>
    <t>Meter4_kw2</t>
  </si>
  <si>
    <t>DB101.DBD64</t>
  </si>
  <si>
    <t>Meter4_kw3</t>
  </si>
  <si>
    <t>DB101.DBD68</t>
  </si>
  <si>
    <t>Meter4_kva1</t>
  </si>
  <si>
    <t>DB101.DBD72</t>
  </si>
  <si>
    <t>Meter4_kva2</t>
  </si>
  <si>
    <t>DB101.DBD76</t>
  </si>
  <si>
    <t>Meter4_kva3</t>
  </si>
  <si>
    <t>DB101.DBD80</t>
  </si>
  <si>
    <t>Meter4_kvar1</t>
  </si>
  <si>
    <t>DB101.DBD84</t>
  </si>
  <si>
    <t>Meter4_kvar2</t>
  </si>
  <si>
    <t>DB101.DBD88</t>
  </si>
  <si>
    <t>Meter4_kvar3</t>
  </si>
  <si>
    <t>DB101.DBD92</t>
  </si>
  <si>
    <t>Meter4_total_kw</t>
  </si>
  <si>
    <t>DB101.DBD96</t>
  </si>
  <si>
    <t>Meter4_total_kva</t>
  </si>
  <si>
    <t>DB101.DBD100</t>
  </si>
  <si>
    <t>Meter4_total_kvar</t>
  </si>
  <si>
    <t>DB101.DBD104</t>
  </si>
  <si>
    <t>Meter4_PF1</t>
  </si>
  <si>
    <t>DB101.DBD108</t>
  </si>
  <si>
    <t>Meter4_PF2</t>
  </si>
  <si>
    <t>DB101.DBD112</t>
  </si>
  <si>
    <t>Meter4_PF3</t>
  </si>
  <si>
    <t>DB101.DBD116</t>
  </si>
  <si>
    <t>Meter4_PF</t>
  </si>
  <si>
    <t>DB101.DBD120</t>
  </si>
  <si>
    <t>Meter4_freq</t>
  </si>
  <si>
    <t>DB101.DBD124</t>
  </si>
  <si>
    <t>Meter4_kwh</t>
  </si>
  <si>
    <t>DB101.DBD128</t>
  </si>
  <si>
    <t>Meter4_kvah</t>
  </si>
  <si>
    <t>DB101.DBD132</t>
  </si>
  <si>
    <t>Meter4_kvarh</t>
  </si>
  <si>
    <t>DB101.DBD136</t>
  </si>
  <si>
    <t>Pump4_Ctrl_run_Pump</t>
  </si>
  <si>
    <t>DB101.DBX140.0</t>
  </si>
  <si>
    <t>Pump4_FB_Fault</t>
  </si>
  <si>
    <t>DB101.DBX142.0</t>
  </si>
  <si>
    <t>Pump4_Ctrl_PB_Run</t>
  </si>
  <si>
    <t>DB101.DBX142.1</t>
  </si>
  <si>
    <t>Pump4_Ctrl_PB_Stop</t>
  </si>
  <si>
    <t>DB101.DBX142.2</t>
  </si>
  <si>
    <t>Pump4_Ctrl_PB_RST</t>
  </si>
  <si>
    <t>DB101.DBX142.3</t>
  </si>
  <si>
    <t>Pump4_Time_Run_M</t>
  </si>
  <si>
    <t>DB101.DBW144</t>
  </si>
  <si>
    <t>Pump4_Time_Run_H</t>
  </si>
  <si>
    <t>DB101.DBW146</t>
  </si>
  <si>
    <t>Pump4_Total_Time_Run_M</t>
  </si>
  <si>
    <t>DB101.DBW148</t>
  </si>
  <si>
    <t>Pump4_Total_Time_Run_H</t>
  </si>
  <si>
    <t>DB101.DBW150</t>
  </si>
  <si>
    <t>Pump4_NumberOfclose</t>
  </si>
  <si>
    <t>DB101.DBW152</t>
  </si>
  <si>
    <t>Pump5_FB_auto</t>
  </si>
  <si>
    <t>DB102.DBX0.0</t>
  </si>
  <si>
    <t>Pump5_FB_Run</t>
  </si>
  <si>
    <t>DB102.DBX0.1</t>
  </si>
  <si>
    <t>Pump5_FB_Fault_V</t>
  </si>
  <si>
    <t>DB102.DBX0.2</t>
  </si>
  <si>
    <t>Pump5_FB_Fault_SS</t>
  </si>
  <si>
    <t>DB102.DBX0.3</t>
  </si>
  <si>
    <t>Pump5_FB_Fault_Temp</t>
  </si>
  <si>
    <t>DB102.DBX0.4</t>
  </si>
  <si>
    <t>Pump5_FB_Fault_Curent</t>
  </si>
  <si>
    <t>DB102.DBX0.5</t>
  </si>
  <si>
    <t>Pump5_Clock_1m</t>
  </si>
  <si>
    <t>DB102.DBX0.6</t>
  </si>
  <si>
    <t>Pump5_FB_stop</t>
  </si>
  <si>
    <t>DB102.DBX0.7</t>
  </si>
  <si>
    <t>Pump5_FB_Temp_DEBearing</t>
  </si>
  <si>
    <t>DB102.DBW2</t>
  </si>
  <si>
    <t>Pump5_FB_Temp_NDEBearing</t>
  </si>
  <si>
    <t>DB102.DBW4</t>
  </si>
  <si>
    <t>Pump5_FB_Temp_PhaseA</t>
  </si>
  <si>
    <t>DB102.DBW6</t>
  </si>
  <si>
    <t>Pump5_FB_Temp_PhaseB</t>
  </si>
  <si>
    <t>DB102.DBW8</t>
  </si>
  <si>
    <t>Pump5_FB_Temp_PhaseC</t>
  </si>
  <si>
    <t>DB102.DBW10</t>
  </si>
  <si>
    <t>Meter5_U1</t>
  </si>
  <si>
    <t>DB102.DBD12</t>
  </si>
  <si>
    <t>Meter5_U2</t>
  </si>
  <si>
    <t>DB102.DBD16</t>
  </si>
  <si>
    <t>Meter5_U3</t>
  </si>
  <si>
    <t>DB102.DBD20</t>
  </si>
  <si>
    <t>Meter5_U_Ph</t>
  </si>
  <si>
    <t>DB102.DBD24</t>
  </si>
  <si>
    <t>Meter5_U12</t>
  </si>
  <si>
    <t>DB102.DBD28</t>
  </si>
  <si>
    <t>Meter5_U23</t>
  </si>
  <si>
    <t>DB102.DBD32</t>
  </si>
  <si>
    <t>Meter5_U31</t>
  </si>
  <si>
    <t>DB102.DBD36</t>
  </si>
  <si>
    <t>Meter5_Uline</t>
  </si>
  <si>
    <t>DB102.DBD40</t>
  </si>
  <si>
    <t>Meter5_I1</t>
  </si>
  <si>
    <t>DB102.DBD44</t>
  </si>
  <si>
    <t>Meter5_I2</t>
  </si>
  <si>
    <t>DB102.DBD48</t>
  </si>
  <si>
    <t>Meter5_I3</t>
  </si>
  <si>
    <t>DB102.DBD52</t>
  </si>
  <si>
    <t>Meter5_I_ph</t>
  </si>
  <si>
    <t>DB102.DBD56</t>
  </si>
  <si>
    <t>Meter5_kw1</t>
  </si>
  <si>
    <t>DB102.DBD60</t>
  </si>
  <si>
    <t>Meter5_kw2</t>
  </si>
  <si>
    <t>DB102.DBD64</t>
  </si>
  <si>
    <t>Meter5_kw3</t>
  </si>
  <si>
    <t>DB102.DBD68</t>
  </si>
  <si>
    <t>Meter5_kva1</t>
  </si>
  <si>
    <t>DB102.DBD72</t>
  </si>
  <si>
    <t>Meter5_kva2</t>
  </si>
  <si>
    <t>DB102.DBD76</t>
  </si>
  <si>
    <t>Meter5_kva3</t>
  </si>
  <si>
    <t>DB102.DBD80</t>
  </si>
  <si>
    <t>Meter5_kvar1</t>
  </si>
  <si>
    <t>DB102.DBD84</t>
  </si>
  <si>
    <t>Meter5_kvar2</t>
  </si>
  <si>
    <t>DB102.DBD88</t>
  </si>
  <si>
    <t>Meter5_kvar3</t>
  </si>
  <si>
    <t>DB102.DBD92</t>
  </si>
  <si>
    <t>Meter5_total_kw</t>
  </si>
  <si>
    <t>DB102.DBD96</t>
  </si>
  <si>
    <t>Meter5_total_kva</t>
  </si>
  <si>
    <t>DB102.DBD100</t>
  </si>
  <si>
    <t>Meter5_total_kvar</t>
  </si>
  <si>
    <t>DB102.DBD104</t>
  </si>
  <si>
    <t>Meter5_PF1</t>
  </si>
  <si>
    <t>DB102.DBD108</t>
  </si>
  <si>
    <t>Meter5_PF2</t>
  </si>
  <si>
    <t>DB102.DBD112</t>
  </si>
  <si>
    <t>Meter5_PF3</t>
  </si>
  <si>
    <t>DB102.DBD116</t>
  </si>
  <si>
    <t>Meter5_PF</t>
  </si>
  <si>
    <t>DB102.DBD120</t>
  </si>
  <si>
    <t>Meter5_freq</t>
  </si>
  <si>
    <t>DB102.DBD124</t>
  </si>
  <si>
    <t>Meter5_kwh</t>
  </si>
  <si>
    <t>DB102.DBD128</t>
  </si>
  <si>
    <t>Meter5_kvah</t>
  </si>
  <si>
    <t>DB102.DBD132</t>
  </si>
  <si>
    <t>Meter5_kvarh</t>
  </si>
  <si>
    <t>DB102.DBD136</t>
  </si>
  <si>
    <t>Pump5_Ctrl_run_Pump</t>
  </si>
  <si>
    <t>DB102.DBX140.0</t>
  </si>
  <si>
    <t>Pump5_FB_Fault</t>
  </si>
  <si>
    <t>DB102.DBX142.0</t>
  </si>
  <si>
    <t>Pump5_Ctrl_PB_Run</t>
  </si>
  <si>
    <t>DB102.DBX142.1</t>
  </si>
  <si>
    <t>Pump5_Ctrl_PB_Stop</t>
  </si>
  <si>
    <t>DB102.DBX142.2</t>
  </si>
  <si>
    <t>Pump5_Ctrl_PB_RST</t>
  </si>
  <si>
    <t>DB102.DBX142.3</t>
  </si>
  <si>
    <t>Pump5_Time_Run_M</t>
  </si>
  <si>
    <t>DB102.DBW144</t>
  </si>
  <si>
    <t>Pump5_Time_Run_H</t>
  </si>
  <si>
    <t>DB102.DBW146</t>
  </si>
  <si>
    <t>Pump5_Total_Time_Run_M</t>
  </si>
  <si>
    <t>DB102.DBW148</t>
  </si>
  <si>
    <t>Pump5_Total_Time_Run_H</t>
  </si>
  <si>
    <t>DB102.DBW150</t>
  </si>
  <si>
    <t>Pump5_NumberOfclose</t>
  </si>
  <si>
    <t>DB102.DBW152</t>
  </si>
  <si>
    <t>Pump6_FB_auto</t>
  </si>
  <si>
    <t>DB103.DBX0.0</t>
  </si>
  <si>
    <t>Pump6_FB_Run</t>
  </si>
  <si>
    <t>DB103.DBX0.1</t>
  </si>
  <si>
    <t>Pump6_FB_Fault_V</t>
  </si>
  <si>
    <t>DB103.DBX0.2</t>
  </si>
  <si>
    <t>Pump6_FB_Fault_SS</t>
  </si>
  <si>
    <t>DB103.DBX0.3</t>
  </si>
  <si>
    <t>Pump6_FB_Fault_Temp</t>
  </si>
  <si>
    <t>DB103.DBX0.4</t>
  </si>
  <si>
    <t>Pump6_FB_Fault_Curent</t>
  </si>
  <si>
    <t>DB103.DBX0.5</t>
  </si>
  <si>
    <t>Pump6_Clock_1m</t>
  </si>
  <si>
    <t>DB103.DBX0.6</t>
  </si>
  <si>
    <t>Pump6_FB_stop</t>
  </si>
  <si>
    <t>DB103.DBX0.7</t>
  </si>
  <si>
    <t>Pump6_FB_Temp_DEBearing</t>
  </si>
  <si>
    <t>DB103.DBW2</t>
  </si>
  <si>
    <t>Pump6_FB_Temp_NDEBearing</t>
  </si>
  <si>
    <t>DB103.DBW4</t>
  </si>
  <si>
    <t>Pump6_FB_Temp_PhaseA</t>
  </si>
  <si>
    <t>DB103.DBW6</t>
  </si>
  <si>
    <t>Pump6_FB_Temp_PhaseB</t>
  </si>
  <si>
    <t>DB103.DBW8</t>
  </si>
  <si>
    <t>Pump6_FB_Temp_PhaseC</t>
  </si>
  <si>
    <t>DB103.DBW10</t>
  </si>
  <si>
    <t>Meter6_U1</t>
  </si>
  <si>
    <t>DB103.DBD12</t>
  </si>
  <si>
    <t>Meter6_U2</t>
  </si>
  <si>
    <t>DB103.DBD16</t>
  </si>
  <si>
    <t>Meter6_U3</t>
  </si>
  <si>
    <t>DB103.DBD20</t>
  </si>
  <si>
    <t>Meter6_U_Ph</t>
  </si>
  <si>
    <t>DB103.DBD24</t>
  </si>
  <si>
    <t>Meter6_U12</t>
  </si>
  <si>
    <t>DB103.DBD28</t>
  </si>
  <si>
    <t>Meter6_U23</t>
  </si>
  <si>
    <t>DB103.DBD32</t>
  </si>
  <si>
    <t>Meter6_U31</t>
  </si>
  <si>
    <t>DB103.DBD36</t>
  </si>
  <si>
    <t>Meter6_Uline</t>
  </si>
  <si>
    <t>DB103.DBD40</t>
  </si>
  <si>
    <t>Meter6_I1</t>
  </si>
  <si>
    <t>DB103.DBD44</t>
  </si>
  <si>
    <t>Meter6_I2</t>
  </si>
  <si>
    <t>DB103.DBD48</t>
  </si>
  <si>
    <t>Meter6_I3</t>
  </si>
  <si>
    <t>DB103.DBD52</t>
  </si>
  <si>
    <t>Meter6_I_ph</t>
  </si>
  <si>
    <t>DB103.DBD56</t>
  </si>
  <si>
    <t>Meter6_kw1</t>
  </si>
  <si>
    <t>DB103.DBD60</t>
  </si>
  <si>
    <t>Meter6_kw2</t>
  </si>
  <si>
    <t>DB103.DBD64</t>
  </si>
  <si>
    <t>Meter6_kw3</t>
  </si>
  <si>
    <t>DB103.DBD68</t>
  </si>
  <si>
    <t>Meter6_kva1</t>
  </si>
  <si>
    <t>DB103.DBD72</t>
  </si>
  <si>
    <t>Meter6_kva2</t>
  </si>
  <si>
    <t>DB103.DBD76</t>
  </si>
  <si>
    <t>Meter6_kva3</t>
  </si>
  <si>
    <t>DB103.DBD80</t>
  </si>
  <si>
    <t>Meter6_kvar1</t>
  </si>
  <si>
    <t>DB103.DBD84</t>
  </si>
  <si>
    <t>Meter6_kvar2</t>
  </si>
  <si>
    <t>DB103.DBD88</t>
  </si>
  <si>
    <t>Meter6_kvar3</t>
  </si>
  <si>
    <t>DB103.DBD92</t>
  </si>
  <si>
    <t>Meter6_total_kw</t>
  </si>
  <si>
    <t>DB103.DBD96</t>
  </si>
  <si>
    <t>Meter6_total_kva</t>
  </si>
  <si>
    <t>DB103.DBD100</t>
  </si>
  <si>
    <t>Meter6_total_kvar</t>
  </si>
  <si>
    <t>DB103.DBD104</t>
  </si>
  <si>
    <t>Meter6_PF1</t>
  </si>
  <si>
    <t>DB103.DBD108</t>
  </si>
  <si>
    <t>Meter6_PF2</t>
  </si>
  <si>
    <t>DB103.DBD112</t>
  </si>
  <si>
    <t>Meter6_PF3</t>
  </si>
  <si>
    <t>DB103.DBD116</t>
  </si>
  <si>
    <t>Meter6_PF</t>
  </si>
  <si>
    <t>DB103.DBD120</t>
  </si>
  <si>
    <t>Meter6_freq</t>
  </si>
  <si>
    <t>DB103.DBD124</t>
  </si>
  <si>
    <t>Meter6_kwh</t>
  </si>
  <si>
    <t>DB103.DBD128</t>
  </si>
  <si>
    <t>Meter6_kvah</t>
  </si>
  <si>
    <t>DB103.DBD132</t>
  </si>
  <si>
    <t>Meter6_kvarh</t>
  </si>
  <si>
    <t>DB103.DBD136</t>
  </si>
  <si>
    <t>Pump6_Ctrl_run_Pump</t>
  </si>
  <si>
    <t>DB103.DBX140.0</t>
  </si>
  <si>
    <t>Pump6_FB_Fault</t>
  </si>
  <si>
    <t>DB103.DBX142.0</t>
  </si>
  <si>
    <t>Pump6_Ctrl_PB_Run</t>
  </si>
  <si>
    <t>DB103.DBX142.1</t>
  </si>
  <si>
    <t>Pump6_Ctrl_PB_Stop</t>
  </si>
  <si>
    <t>DB103.DBX142.2</t>
  </si>
  <si>
    <t>Pump6_Ctrl_PB_RST</t>
  </si>
  <si>
    <t>DB103.DBX142.3</t>
  </si>
  <si>
    <t>Pump6_Time_Run_M</t>
  </si>
  <si>
    <t>DB103.DBW144</t>
  </si>
  <si>
    <t>Pump6_Time_Run_H</t>
  </si>
  <si>
    <t>DB103.DBW146</t>
  </si>
  <si>
    <t>Pump6_Total_Time_Run_M</t>
  </si>
  <si>
    <t>DB103.DBW148</t>
  </si>
  <si>
    <t>Pump6_Total_Time_Run_H</t>
  </si>
  <si>
    <t>DB103.DBW150</t>
  </si>
  <si>
    <t>Pump6_NumberOfclose</t>
  </si>
  <si>
    <t>DB103.DBW152</t>
  </si>
  <si>
    <t>Pump7_FB_auto</t>
  </si>
  <si>
    <t>DB104.DBX0.0</t>
  </si>
  <si>
    <t>Pump7_FB_Run</t>
  </si>
  <si>
    <t>DB104.DBX0.1</t>
  </si>
  <si>
    <t>Pump7_FB_Fault_V</t>
  </si>
  <si>
    <t>DB104.DBX0.2</t>
  </si>
  <si>
    <t>Pump7_FB_Fault_SS</t>
  </si>
  <si>
    <t>DB104.DBX0.3</t>
  </si>
  <si>
    <t>Pump7_FB_Fault_Temp</t>
  </si>
  <si>
    <t>DB104.DBX0.4</t>
  </si>
  <si>
    <t>Pump7_FB_Fault_Curent</t>
  </si>
  <si>
    <t>DB104.DBX0.5</t>
  </si>
  <si>
    <t>Pump7_Clock_1m</t>
  </si>
  <si>
    <t>DB104.DBX0.6</t>
  </si>
  <si>
    <t>Pump7_FB_stop</t>
  </si>
  <si>
    <t>DB104.DBX0.7</t>
  </si>
  <si>
    <t>Pump7_FB_Temp_DEBearing</t>
  </si>
  <si>
    <t>DB104.DBW2</t>
  </si>
  <si>
    <t>Pump7_FB_Temp_NDEBearing</t>
  </si>
  <si>
    <t>DB104.DBW4</t>
  </si>
  <si>
    <t>Pump7_FB_Temp_PhaseA</t>
  </si>
  <si>
    <t>DB104.DBW6</t>
  </si>
  <si>
    <t>Pump7_FB_Temp_PhaseB</t>
  </si>
  <si>
    <t>DB104.DBW8</t>
  </si>
  <si>
    <t>Pump7_FB_Temp_PhaseC</t>
  </si>
  <si>
    <t>DB104.DBW10</t>
  </si>
  <si>
    <t>Meter7_U1</t>
  </si>
  <si>
    <t>DB104.DBD12</t>
  </si>
  <si>
    <t>Meter7_U2</t>
  </si>
  <si>
    <t>DB104.DBD16</t>
  </si>
  <si>
    <t>Meter7_U3</t>
  </si>
  <si>
    <t>DB104.DBD20</t>
  </si>
  <si>
    <t>Meter7_U_Ph</t>
  </si>
  <si>
    <t>DB104.DBD24</t>
  </si>
  <si>
    <t>Meter7_U12</t>
  </si>
  <si>
    <t>DB104.DBD28</t>
  </si>
  <si>
    <t>Meter7_U23</t>
  </si>
  <si>
    <t>DB104.DBD32</t>
  </si>
  <si>
    <t>Meter7_U31</t>
  </si>
  <si>
    <t>DB104.DBD36</t>
  </si>
  <si>
    <t>Meter7_Uline</t>
  </si>
  <si>
    <t>DB104.DBD40</t>
  </si>
  <si>
    <t>Meter7_I1</t>
  </si>
  <si>
    <t>DB104.DBD44</t>
  </si>
  <si>
    <t>Meter7_I2</t>
  </si>
  <si>
    <t>DB104.DBD48</t>
  </si>
  <si>
    <t>Meter7_I3</t>
  </si>
  <si>
    <t>DB104.DBD52</t>
  </si>
  <si>
    <t>Meter7_I_ph</t>
  </si>
  <si>
    <t>DB104.DBD56</t>
  </si>
  <si>
    <t>Meter7_kw1</t>
  </si>
  <si>
    <t>DB104.DBD60</t>
  </si>
  <si>
    <t>Meter7_kw2</t>
  </si>
  <si>
    <t>DB104.DBD64</t>
  </si>
  <si>
    <t>Meter7_kw3</t>
  </si>
  <si>
    <t>DB104.DBD68</t>
  </si>
  <si>
    <t>Meter7_kva1</t>
  </si>
  <si>
    <t>DB104.DBD72</t>
  </si>
  <si>
    <t>Meter7_kva2</t>
  </si>
  <si>
    <t>DB104.DBD76</t>
  </si>
  <si>
    <t>Meter7_kva3</t>
  </si>
  <si>
    <t>DB104.DBD80</t>
  </si>
  <si>
    <t>Meter7_kvar1</t>
  </si>
  <si>
    <t>DB104.DBD84</t>
  </si>
  <si>
    <t>Meter7_kvar2</t>
  </si>
  <si>
    <t>DB104.DBD88</t>
  </si>
  <si>
    <t>Meter7_kvar3</t>
  </si>
  <si>
    <t>DB104.DBD92</t>
  </si>
  <si>
    <t>Meter7_total_kw</t>
  </si>
  <si>
    <t>DB104.DBD96</t>
  </si>
  <si>
    <t>Meter7_total_kva</t>
  </si>
  <si>
    <t>DB104.DBD100</t>
  </si>
  <si>
    <t>Meter7_total_kvar</t>
  </si>
  <si>
    <t>DB104.DBD104</t>
  </si>
  <si>
    <t>Meter7_PF1</t>
  </si>
  <si>
    <t>DB104.DBD108</t>
  </si>
  <si>
    <t>Meter7_PF2</t>
  </si>
  <si>
    <t>DB104.DBD112</t>
  </si>
  <si>
    <t>Meter7_PF3</t>
  </si>
  <si>
    <t>DB104.DBD116</t>
  </si>
  <si>
    <t>Meter7_PF</t>
  </si>
  <si>
    <t>DB104.DBD120</t>
  </si>
  <si>
    <t>Meter7_freq</t>
  </si>
  <si>
    <t>DB104.DBD124</t>
  </si>
  <si>
    <t>Meter7_kwh</t>
  </si>
  <si>
    <t>DB104.DBD128</t>
  </si>
  <si>
    <t>Meter7_kvah</t>
  </si>
  <si>
    <t>DB104.DBD132</t>
  </si>
  <si>
    <t>Meter7_kvarh</t>
  </si>
  <si>
    <t>DB104.DBD136</t>
  </si>
  <si>
    <t>Pump7_Ctrl_run_Pump</t>
  </si>
  <si>
    <t>DB104.DBX140.0</t>
  </si>
  <si>
    <t>Pump7_FB_Fault</t>
  </si>
  <si>
    <t>DB104.DBX142.0</t>
  </si>
  <si>
    <t>Pump7_Ctrl_PB_Run</t>
  </si>
  <si>
    <t>DB104.DBX142.1</t>
  </si>
  <si>
    <t>Pump7_Ctrl_PB_Stop</t>
  </si>
  <si>
    <t>DB104.DBX142.2</t>
  </si>
  <si>
    <t>Pump7_Ctrl_PB_RST</t>
  </si>
  <si>
    <t>DB104.DBX142.3</t>
  </si>
  <si>
    <t>Pump7_Time_Run_M</t>
  </si>
  <si>
    <t>DB104.DBW144</t>
  </si>
  <si>
    <t>Pump7_Time_Run_H</t>
  </si>
  <si>
    <t>DB104.DBW146</t>
  </si>
  <si>
    <t>Pump7_Total_Time_Run_M</t>
  </si>
  <si>
    <t>DB104.DBW148</t>
  </si>
  <si>
    <t>Pump7_Total_Time_Run_H</t>
  </si>
  <si>
    <t>DB104.DBW150</t>
  </si>
  <si>
    <t>Pump7_NumberOfclose</t>
  </si>
  <si>
    <t>DB104.DBW152</t>
  </si>
  <si>
    <t>Pump8_FB_auto</t>
  </si>
  <si>
    <t>DB105.DBX0.0</t>
  </si>
  <si>
    <t>Pump8_FB_Run</t>
  </si>
  <si>
    <t>DB105.DBX0.1</t>
  </si>
  <si>
    <t>Pump8_FB_Fault_V</t>
  </si>
  <si>
    <t>DB105.DBX0.2</t>
  </si>
  <si>
    <t>Pump8_FB_Fault_SS</t>
  </si>
  <si>
    <t>DB105.DBX0.3</t>
  </si>
  <si>
    <t>Pump8_FB_Fault_Temp</t>
  </si>
  <si>
    <t>DB105.DBX0.4</t>
  </si>
  <si>
    <t>Pump8_FB_Fault_Curent</t>
  </si>
  <si>
    <t>DB105.DBX0.5</t>
  </si>
  <si>
    <t>Pump8_Clock_1m</t>
  </si>
  <si>
    <t>DB105.DBX0.6</t>
  </si>
  <si>
    <t>Pump8_FB_stop</t>
  </si>
  <si>
    <t>DB105.DBX0.7</t>
  </si>
  <si>
    <t>Pump8_FB_Temp_DEBearing</t>
  </si>
  <si>
    <t>DB105.DBW2</t>
  </si>
  <si>
    <t>Pump8_FB_Temp_NDEBearing</t>
  </si>
  <si>
    <t>DB105.DBW4</t>
  </si>
  <si>
    <t>Pump8_FB_Temp_PhaseA</t>
  </si>
  <si>
    <t>DB105.DBW6</t>
  </si>
  <si>
    <t>Pump8_FB_Temp_PhaseB</t>
  </si>
  <si>
    <t>DB105.DBW8</t>
  </si>
  <si>
    <t>Pump8_FB_Temp_PhaseC</t>
  </si>
  <si>
    <t>DB105.DBW10</t>
  </si>
  <si>
    <t>Meter8_U1</t>
  </si>
  <si>
    <t>DB105.DBD12</t>
  </si>
  <si>
    <t>Meter8_U2</t>
  </si>
  <si>
    <t>DB105.DBD16</t>
  </si>
  <si>
    <t>Meter8_U3</t>
  </si>
  <si>
    <t>DB105.DBD20</t>
  </si>
  <si>
    <t>Meter8_U_Ph</t>
  </si>
  <si>
    <t>DB105.DBD24</t>
  </si>
  <si>
    <t>Meter8_U12</t>
  </si>
  <si>
    <t>DB105.DBD28</t>
  </si>
  <si>
    <t>Meter8_U23</t>
  </si>
  <si>
    <t>DB105.DBD32</t>
  </si>
  <si>
    <t>Meter8_U31</t>
  </si>
  <si>
    <t>DB105.DBD36</t>
  </si>
  <si>
    <t>Meter8_Uline</t>
  </si>
  <si>
    <t>DB105.DBD40</t>
  </si>
  <si>
    <t>Meter8_I1</t>
  </si>
  <si>
    <t>DB105.DBD44</t>
  </si>
  <si>
    <t>Meter8_I2</t>
  </si>
  <si>
    <t>DB105.DBD48</t>
  </si>
  <si>
    <t>Meter8_I3</t>
  </si>
  <si>
    <t>DB105.DBD52</t>
  </si>
  <si>
    <t>Meter8_I_ph</t>
  </si>
  <si>
    <t>DB105.DBD56</t>
  </si>
  <si>
    <t>Meter8_kw1</t>
  </si>
  <si>
    <t>DB105.DBD60</t>
  </si>
  <si>
    <t>Meter8_kw2</t>
  </si>
  <si>
    <t>DB105.DBD64</t>
  </si>
  <si>
    <t>Meter8_kw3</t>
  </si>
  <si>
    <t>DB105.DBD68</t>
  </si>
  <si>
    <t>Meter8_kva1</t>
  </si>
  <si>
    <t>DB105.DBD72</t>
  </si>
  <si>
    <t>Meter8_kva2</t>
  </si>
  <si>
    <t>DB105.DBD76</t>
  </si>
  <si>
    <t>Meter8_kva3</t>
  </si>
  <si>
    <t>DB105.DBD80</t>
  </si>
  <si>
    <t>Meter8_kvar1</t>
  </si>
  <si>
    <t>DB105.DBD84</t>
  </si>
  <si>
    <t>Meter8_kvar2</t>
  </si>
  <si>
    <t>DB105.DBD88</t>
  </si>
  <si>
    <t>Meter8_kvar3</t>
  </si>
  <si>
    <t>DB105.DBD92</t>
  </si>
  <si>
    <t>Meter8_total_kw</t>
  </si>
  <si>
    <t>DB105.DBD96</t>
  </si>
  <si>
    <t>Meter8_total_kva</t>
  </si>
  <si>
    <t>DB105.DBD100</t>
  </si>
  <si>
    <t>Meter8_total_kvar</t>
  </si>
  <si>
    <t>DB105.DBD104</t>
  </si>
  <si>
    <t>Meter8_PF1</t>
  </si>
  <si>
    <t>DB105.DBD108</t>
  </si>
  <si>
    <t>Meter8_PF2</t>
  </si>
  <si>
    <t>DB105.DBD112</t>
  </si>
  <si>
    <t>Meter8_PF3</t>
  </si>
  <si>
    <t>DB105.DBD116</t>
  </si>
  <si>
    <t>Meter8_PF</t>
  </si>
  <si>
    <t>DB105.DBD120</t>
  </si>
  <si>
    <t>Meter8_freq</t>
  </si>
  <si>
    <t>DB105.DBD124</t>
  </si>
  <si>
    <t>Meter8_kwh</t>
  </si>
  <si>
    <t>DB105.DBD128</t>
  </si>
  <si>
    <t>Meter8_kvah</t>
  </si>
  <si>
    <t>DB105.DBD132</t>
  </si>
  <si>
    <t>Meter8_kvarh</t>
  </si>
  <si>
    <t>DB105.DBD136</t>
  </si>
  <si>
    <t>Pump8_Ctrl_run_Pump</t>
  </si>
  <si>
    <t>DB105.DBX140.0</t>
  </si>
  <si>
    <t>Pump8_FB_Fault</t>
  </si>
  <si>
    <t>DB105.DBX142.0</t>
  </si>
  <si>
    <t>Pump8_Ctrl_PB_Run</t>
  </si>
  <si>
    <t>DB105.DBX142.1</t>
  </si>
  <si>
    <t>Pump8_Ctrl_PB_Stop</t>
  </si>
  <si>
    <t>DB105.DBX142.2</t>
  </si>
  <si>
    <t>Pump8_Ctrl_PB_RST</t>
  </si>
  <si>
    <t>DB105.DBX142.3</t>
  </si>
  <si>
    <t>Pump8_Time_Run_M</t>
  </si>
  <si>
    <t>DB105.DBW144</t>
  </si>
  <si>
    <t>Pump8_Time_Run_H</t>
  </si>
  <si>
    <t>DB105.DBW146</t>
  </si>
  <si>
    <t>Pump8_Total_Time_Run_M</t>
  </si>
  <si>
    <t>DB105.DBW148</t>
  </si>
  <si>
    <t>Pump8_Total_Time_Run_H</t>
  </si>
  <si>
    <t>DB105.DBW150</t>
  </si>
  <si>
    <t>Pump8_NumberOfclose</t>
  </si>
  <si>
    <t>DB105.DBW152</t>
  </si>
  <si>
    <t>Pump9_FB_auto</t>
  </si>
  <si>
    <t>DB109.DBX0.0</t>
  </si>
  <si>
    <t>Pump9_FB_Run</t>
  </si>
  <si>
    <t>DB109.DBX0.1</t>
  </si>
  <si>
    <t>Pump9_FB_Fault_V</t>
  </si>
  <si>
    <t>DB109.DBX0.2</t>
  </si>
  <si>
    <t>Pump9_FB_Fault_SS</t>
  </si>
  <si>
    <t>DB109.DBX0.3</t>
  </si>
  <si>
    <t>Pump9_FB_Fault_Temp</t>
  </si>
  <si>
    <t>DB109.DBX0.4</t>
  </si>
  <si>
    <t>Pump9_FB_Fault_Curent</t>
  </si>
  <si>
    <t>DB109.DBX0.5</t>
  </si>
  <si>
    <t>Pump9_Clock_1m</t>
  </si>
  <si>
    <t>DB109.DBX0.6</t>
  </si>
  <si>
    <t>Pump9_FB_stop</t>
  </si>
  <si>
    <t>DB109.DBX0.7</t>
  </si>
  <si>
    <t>Pump9_FB_Temp_DEBearing</t>
  </si>
  <si>
    <t>DB109.DBW2</t>
  </si>
  <si>
    <t>Pump9_FB_Temp_NDEBearing</t>
  </si>
  <si>
    <t>DB109.DBW4</t>
  </si>
  <si>
    <t>Pump9_FB_Temp_PhaseA</t>
  </si>
  <si>
    <t>DB109.DBW6</t>
  </si>
  <si>
    <t>Pump9_FB_Temp_PhaseB</t>
  </si>
  <si>
    <t>DB109.DBW8</t>
  </si>
  <si>
    <t>Pump9_FB_Temp_PhaseC</t>
  </si>
  <si>
    <t>DB109.DBW10</t>
  </si>
  <si>
    <t>Meter9_U1</t>
  </si>
  <si>
    <t>DB109.DBD12</t>
  </si>
  <si>
    <t>Meter9_U2</t>
  </si>
  <si>
    <t>DB109.DBD16</t>
  </si>
  <si>
    <t>Meter9_U3</t>
  </si>
  <si>
    <t>DB109.DBD20</t>
  </si>
  <si>
    <t>Meter9_U_Ph</t>
  </si>
  <si>
    <t>DB109.DBD24</t>
  </si>
  <si>
    <t>Meter9_U12</t>
  </si>
  <si>
    <t>DB109.DBD28</t>
  </si>
  <si>
    <t>Meter9_U23</t>
  </si>
  <si>
    <t>DB109.DBD32</t>
  </si>
  <si>
    <t>Meter9_U31</t>
  </si>
  <si>
    <t>DB109.DBD36</t>
  </si>
  <si>
    <t>Meter9_Uline</t>
  </si>
  <si>
    <t>DB109.DBD40</t>
  </si>
  <si>
    <t>Meter9_I1</t>
  </si>
  <si>
    <t>DB109.DBD44</t>
  </si>
  <si>
    <t>Meter9_I2</t>
  </si>
  <si>
    <t>DB109.DBD48</t>
  </si>
  <si>
    <t>Meter9_I3</t>
  </si>
  <si>
    <t>DB109.DBD52</t>
  </si>
  <si>
    <t>Meter9_I_ph</t>
  </si>
  <si>
    <t>DB109.DBD56</t>
  </si>
  <si>
    <t>Meter9_kw1</t>
  </si>
  <si>
    <t>DB109.DBD60</t>
  </si>
  <si>
    <t>Meter9_kw2</t>
  </si>
  <si>
    <t>DB109.DBD64</t>
  </si>
  <si>
    <t>Meter9_kw3</t>
  </si>
  <si>
    <t>DB109.DBD68</t>
  </si>
  <si>
    <t>Meter9_kva1</t>
  </si>
  <si>
    <t>DB109.DBD72</t>
  </si>
  <si>
    <t>Meter9_kva2</t>
  </si>
  <si>
    <t>DB109.DBD76</t>
  </si>
  <si>
    <t>Meter9_kva3</t>
  </si>
  <si>
    <t>DB109.DBD80</t>
  </si>
  <si>
    <t>Meter9_kvar1</t>
  </si>
  <si>
    <t>DB109.DBD84</t>
  </si>
  <si>
    <t>Meter9_kvar2</t>
  </si>
  <si>
    <t>DB109.DBD88</t>
  </si>
  <si>
    <t>Meter9_kvar3</t>
  </si>
  <si>
    <t>DB109.DBD92</t>
  </si>
  <si>
    <t>Meter9_total_kw</t>
  </si>
  <si>
    <t>DB109.DBD96</t>
  </si>
  <si>
    <t>Meter9_total_kva</t>
  </si>
  <si>
    <t>DB109.DBD100</t>
  </si>
  <si>
    <t>Meter9_total_kvar</t>
  </si>
  <si>
    <t>DB109.DBD104</t>
  </si>
  <si>
    <t>Meter9_PF1</t>
  </si>
  <si>
    <t>DB109.DBD108</t>
  </si>
  <si>
    <t>Meter9_PF2</t>
  </si>
  <si>
    <t>DB109.DBD112</t>
  </si>
  <si>
    <t>Meter9_PF3</t>
  </si>
  <si>
    <t>DB109.DBD116</t>
  </si>
  <si>
    <t>Meter9_PF</t>
  </si>
  <si>
    <t>DB109.DBD120</t>
  </si>
  <si>
    <t>Meter9_freq</t>
  </si>
  <si>
    <t>DB109.DBD124</t>
  </si>
  <si>
    <t>Meter9_kwh</t>
  </si>
  <si>
    <t>DB109.DBD128</t>
  </si>
  <si>
    <t>Meter9_kvah</t>
  </si>
  <si>
    <t>DB109.DBD132</t>
  </si>
  <si>
    <t>Meter9_kvarh</t>
  </si>
  <si>
    <t>DB109.DBD136</t>
  </si>
  <si>
    <t>Pump9_Ctrl_run_Pump</t>
  </si>
  <si>
    <t>DB109.DBX140.0</t>
  </si>
  <si>
    <t>Pump9_FB_Fault</t>
  </si>
  <si>
    <t>DB109.DBX142.0</t>
  </si>
  <si>
    <t>Pump9_Ctrl_PB_Run</t>
  </si>
  <si>
    <t>DB109.DBX142.1</t>
  </si>
  <si>
    <t>Pump9_Ctrl_PB_Stop</t>
  </si>
  <si>
    <t>DB109.DBX142.2</t>
  </si>
  <si>
    <t>Pump9_Ctrl_PB_RST</t>
  </si>
  <si>
    <t>DB109.DBX142.3</t>
  </si>
  <si>
    <t>Pump9_Time_Run_M</t>
  </si>
  <si>
    <t>DB109.DBW144</t>
  </si>
  <si>
    <t>Pump9_Time_Run_H</t>
  </si>
  <si>
    <t>DB109.DBW146</t>
  </si>
  <si>
    <t>Pump9_Total_Time_Run_M</t>
  </si>
  <si>
    <t>DB109.DBW148</t>
  </si>
  <si>
    <t>Pump9_Total_Time_Run_H</t>
  </si>
  <si>
    <t>DB109.DBW150</t>
  </si>
  <si>
    <t>Pump9_NumberOfclose</t>
  </si>
  <si>
    <t>DB109.DBW152</t>
  </si>
  <si>
    <t>Pump10_FB_auto</t>
  </si>
  <si>
    <t>DB110.DBX0.0</t>
  </si>
  <si>
    <t>Pump10_FB_Run</t>
  </si>
  <si>
    <t>DB110.DBX0.1</t>
  </si>
  <si>
    <t>Pump10_FB_Fault_V</t>
  </si>
  <si>
    <t>DB110.DBX0.2</t>
  </si>
  <si>
    <t>Pump10_FB_Fault_SS</t>
  </si>
  <si>
    <t>DB110.DBX0.3</t>
  </si>
  <si>
    <t>Pump10_FB_Fault_Temp</t>
  </si>
  <si>
    <t>DB110.DBX0.4</t>
  </si>
  <si>
    <t>Pump10_FB_Fault_Curent</t>
  </si>
  <si>
    <t>DB110.DBX0.5</t>
  </si>
  <si>
    <t>Pump10_Clock_1m</t>
  </si>
  <si>
    <t>DB110.DBX0.6</t>
  </si>
  <si>
    <t>Pump10_FB_stop</t>
  </si>
  <si>
    <t>DB110.DBX0.7</t>
  </si>
  <si>
    <t>Pump10_FB_Temp_DEBearing</t>
  </si>
  <si>
    <t>DB110.DBW2</t>
  </si>
  <si>
    <t>Pump10_FB_Temp_NDEBearing</t>
  </si>
  <si>
    <t>DB110.DBW4</t>
  </si>
  <si>
    <t>Pump10_FB_Temp_PhaseA</t>
  </si>
  <si>
    <t>DB110.DBW6</t>
  </si>
  <si>
    <t>Pump10_FB_Temp_PhaseB</t>
  </si>
  <si>
    <t>DB110.DBW8</t>
  </si>
  <si>
    <t>Pump10_FB_Temp_PhaseC</t>
  </si>
  <si>
    <t>DB110.DBW10</t>
  </si>
  <si>
    <t>Meter10_U1</t>
  </si>
  <si>
    <t>DB110.DBD12</t>
  </si>
  <si>
    <t>Meter10_U2</t>
  </si>
  <si>
    <t>DB110.DBD16</t>
  </si>
  <si>
    <t>Meter10_U3</t>
  </si>
  <si>
    <t>DB110.DBD20</t>
  </si>
  <si>
    <t>Meter10_U_Ph</t>
  </si>
  <si>
    <t>DB110.DBD24</t>
  </si>
  <si>
    <t>Meter10_U12</t>
  </si>
  <si>
    <t>DB110.DBD28</t>
  </si>
  <si>
    <t>Meter10_U23</t>
  </si>
  <si>
    <t>DB110.DBD32</t>
  </si>
  <si>
    <t>Meter10_U31</t>
  </si>
  <si>
    <t>DB110.DBD36</t>
  </si>
  <si>
    <t>Meter10_Uline</t>
  </si>
  <si>
    <t>DB110.DBD40</t>
  </si>
  <si>
    <t>Meter10_I1</t>
  </si>
  <si>
    <t>DB110.DBD44</t>
  </si>
  <si>
    <t>Meter10_I2</t>
  </si>
  <si>
    <t>DB110.DBD48</t>
  </si>
  <si>
    <t>Meter10_I3</t>
  </si>
  <si>
    <t>DB110.DBD52</t>
  </si>
  <si>
    <t>Meter10_I_ph</t>
  </si>
  <si>
    <t>DB110.DBD56</t>
  </si>
  <si>
    <t>Meter10_kw1</t>
  </si>
  <si>
    <t>DB110.DBD60</t>
  </si>
  <si>
    <t>Meter10_kw2</t>
  </si>
  <si>
    <t>DB110.DBD64</t>
  </si>
  <si>
    <t>Meter10_kw3</t>
  </si>
  <si>
    <t>DB110.DBD68</t>
  </si>
  <si>
    <t>Meter10_kva1</t>
  </si>
  <si>
    <t>DB110.DBD72</t>
  </si>
  <si>
    <t>Meter10_kva2</t>
  </si>
  <si>
    <t>DB110.DBD76</t>
  </si>
  <si>
    <t>Meter10_kva3</t>
  </si>
  <si>
    <t>DB110.DBD80</t>
  </si>
  <si>
    <t>Meter10_kvar1</t>
  </si>
  <si>
    <t>DB110.DBD84</t>
  </si>
  <si>
    <t>Meter10_kvar2</t>
  </si>
  <si>
    <t>DB110.DBD88</t>
  </si>
  <si>
    <t>Meter10_kvar3</t>
  </si>
  <si>
    <t>DB110.DBD92</t>
  </si>
  <si>
    <t>Meter10_total_kw</t>
  </si>
  <si>
    <t>DB110.DBD96</t>
  </si>
  <si>
    <t>Meter10_total_kva</t>
  </si>
  <si>
    <t>DB110.DBD100</t>
  </si>
  <si>
    <t>Meter10_total_kvar</t>
  </si>
  <si>
    <t>DB110.DBD104</t>
  </si>
  <si>
    <t>Meter10_PF1</t>
  </si>
  <si>
    <t>DB110.DBD108</t>
  </si>
  <si>
    <t>Meter10_PF2</t>
  </si>
  <si>
    <t>DB110.DBD112</t>
  </si>
  <si>
    <t>Meter10_PF3</t>
  </si>
  <si>
    <t>DB110.DBD116</t>
  </si>
  <si>
    <t>Meter10_PF</t>
  </si>
  <si>
    <t>DB110.DBD120</t>
  </si>
  <si>
    <t>Meter10_freq</t>
  </si>
  <si>
    <t>DB110.DBD124</t>
  </si>
  <si>
    <t>Meter10_kwh</t>
  </si>
  <si>
    <t>DB110.DBD128</t>
  </si>
  <si>
    <t>Meter10_kvah</t>
  </si>
  <si>
    <t>DB110.DBD132</t>
  </si>
  <si>
    <t>Meter10_kvarh</t>
  </si>
  <si>
    <t>DB110.DBD136</t>
  </si>
  <si>
    <t>Pump10_Ctrl_run_Pump</t>
  </si>
  <si>
    <t>DB110.DBX140.0</t>
  </si>
  <si>
    <t>Pump10_FB_Fault</t>
  </si>
  <si>
    <t>DB110.DBX142.0</t>
  </si>
  <si>
    <t>Pump10_Ctrl_PB_Run</t>
  </si>
  <si>
    <t>DB110.DBX142.1</t>
  </si>
  <si>
    <t>Pump10_Ctrl_PB_Stop</t>
  </si>
  <si>
    <t>DB110.DBX142.2</t>
  </si>
  <si>
    <t>Pump10_Ctrl_PB_RST</t>
  </si>
  <si>
    <t>DB110.DBX142.3</t>
  </si>
  <si>
    <t>Pump10_Time_Run_M</t>
  </si>
  <si>
    <t>DB110.DBW144</t>
  </si>
  <si>
    <t>Pump10_Time_Run_H</t>
  </si>
  <si>
    <t>DB110.DBW146</t>
  </si>
  <si>
    <t>Pump10_Total_Time_Run_M</t>
  </si>
  <si>
    <t>DB110.DBW148</t>
  </si>
  <si>
    <t>Pump10_Total_Time_Run_H</t>
  </si>
  <si>
    <t>DB110.DBW150</t>
  </si>
  <si>
    <t>Pump10_NumberOfclose</t>
  </si>
  <si>
    <t>DB110.DBW152</t>
  </si>
  <si>
    <t>Meter0_U1</t>
  </si>
  <si>
    <t>DB20.DBD0</t>
  </si>
  <si>
    <t>Meter0_U2</t>
  </si>
  <si>
    <t>DB20.DBD4</t>
  </si>
  <si>
    <t>Meter0_U3</t>
  </si>
  <si>
    <t>DB20.DBD8</t>
  </si>
  <si>
    <t>Meter0_U_Ph</t>
  </si>
  <si>
    <t>DB20.DBD12</t>
  </si>
  <si>
    <t>Meter0_U12</t>
  </si>
  <si>
    <t>DB20.DBD16</t>
  </si>
  <si>
    <t>Meter0_U23</t>
  </si>
  <si>
    <t>DB20.DBD20</t>
  </si>
  <si>
    <t>Meter0_U31</t>
  </si>
  <si>
    <t>DB20.DBD24</t>
  </si>
  <si>
    <t>Meter0_Uline</t>
  </si>
  <si>
    <t>DB20.DBD28</t>
  </si>
  <si>
    <t>Meter0_I1</t>
  </si>
  <si>
    <t>DB20.DBD32</t>
  </si>
  <si>
    <t>Meter0_I2</t>
  </si>
  <si>
    <t>DB20.DBD36</t>
  </si>
  <si>
    <t>Meter0_I3</t>
  </si>
  <si>
    <t>DB20.DBD40</t>
  </si>
  <si>
    <t>Meter0_I_ph</t>
  </si>
  <si>
    <t>DB20.DBD44</t>
  </si>
  <si>
    <t>Meter0_kw1</t>
  </si>
  <si>
    <t>DB20.DBD48</t>
  </si>
  <si>
    <t>Meter0_kw2</t>
  </si>
  <si>
    <t>DB20.DBD52</t>
  </si>
  <si>
    <t>Meter0_kw3</t>
  </si>
  <si>
    <t>DB20.DBD56</t>
  </si>
  <si>
    <t>Meter0_kva1</t>
  </si>
  <si>
    <t>DB20.DBD60</t>
  </si>
  <si>
    <t>Meter0_kva2</t>
  </si>
  <si>
    <t>DB20.DBD64</t>
  </si>
  <si>
    <t>Meter0_kva3</t>
  </si>
  <si>
    <t>DB20.DBD68</t>
  </si>
  <si>
    <t>Meter0_kvar1</t>
  </si>
  <si>
    <t>DB20.DBD72</t>
  </si>
  <si>
    <t>Meter0_kvar2</t>
  </si>
  <si>
    <t>DB20.DBD76</t>
  </si>
  <si>
    <t>Meter0_kvar3</t>
  </si>
  <si>
    <t>DB20.DBD80</t>
  </si>
  <si>
    <t>Meter0_total_kw</t>
  </si>
  <si>
    <t>DB20.DBD84</t>
  </si>
  <si>
    <t>Meter0_total_kva</t>
  </si>
  <si>
    <t>DB20.DBD88</t>
  </si>
  <si>
    <t>Meter0_total_kvar</t>
  </si>
  <si>
    <t>DB20.DBD92</t>
  </si>
  <si>
    <t>Meter0_PF1</t>
  </si>
  <si>
    <t>DB20.DBD96</t>
  </si>
  <si>
    <t>Meter0_PF2</t>
  </si>
  <si>
    <t>DB20.DBD100</t>
  </si>
  <si>
    <t>Meter0_PF3</t>
  </si>
  <si>
    <t>DB20.DBD104</t>
  </si>
  <si>
    <t>Meter0_PF</t>
  </si>
  <si>
    <t>DB20.DBD108</t>
  </si>
  <si>
    <t>Meter0_freq</t>
  </si>
  <si>
    <t>DB20.DBD112</t>
  </si>
  <si>
    <t>Meter0_kwh</t>
  </si>
  <si>
    <t>DB20.DBD116</t>
  </si>
  <si>
    <t>Meter0_kvah</t>
  </si>
  <si>
    <t>DB20.DBD120</t>
  </si>
  <si>
    <t>Meter0_kvarh</t>
  </si>
  <si>
    <t>DB20.DBD124</t>
  </si>
  <si>
    <t>PrimingPump1_Run</t>
  </si>
  <si>
    <t>DB111.DBX0.1</t>
  </si>
  <si>
    <t>PrimingPump1_Stop</t>
  </si>
  <si>
    <t>DB111.DBX0.2</t>
  </si>
  <si>
    <t>PrimingPump1_Fault</t>
  </si>
  <si>
    <t>DB111.DBX0.3</t>
  </si>
  <si>
    <t>PrimingPump2_Run</t>
  </si>
  <si>
    <t>DB112.DBX0.1</t>
  </si>
  <si>
    <t>PrimingPump2_Stop</t>
  </si>
  <si>
    <t>DB112.DBX0.2</t>
  </si>
  <si>
    <t>PrimingPump2_Fault</t>
  </si>
  <si>
    <t>DB112.DBX0.3</t>
  </si>
  <si>
    <t>Level_River</t>
  </si>
  <si>
    <t>DB1.DBD0</t>
  </si>
  <si>
    <t>Level_Discharge1</t>
  </si>
  <si>
    <t>DB1.DBD4</t>
  </si>
  <si>
    <t>Level_Discharge2</t>
  </si>
  <si>
    <t>DB1.DBD8</t>
  </si>
  <si>
    <t>Level_Discharge3</t>
  </si>
  <si>
    <t>DB1.DBD12</t>
  </si>
  <si>
    <t>Level_Discharge4</t>
  </si>
  <si>
    <t>DB1.DBD16</t>
  </si>
  <si>
    <t>Level_Discharge5</t>
  </si>
  <si>
    <t>DB1.DBD20</t>
  </si>
  <si>
    <t>Level_Discharge6</t>
  </si>
  <si>
    <t>DB1.DBD24</t>
  </si>
  <si>
    <t>Level_Discharge7</t>
  </si>
  <si>
    <t>DB1.DBD28</t>
  </si>
  <si>
    <t>Level_Discharge8</t>
  </si>
  <si>
    <t>DB1.DBD32</t>
  </si>
  <si>
    <t>Level_Discharge9</t>
  </si>
  <si>
    <t>DB1.DBD36</t>
  </si>
  <si>
    <t>Level_Discharge10</t>
  </si>
  <si>
    <t>DB1.DBD40</t>
  </si>
  <si>
    <t>Pump1_Set_tempA</t>
  </si>
  <si>
    <t>DB201.DBD0</t>
  </si>
  <si>
    <t>Pump1_Set_tempB</t>
  </si>
  <si>
    <t>DB201.DBD2</t>
  </si>
  <si>
    <t>Pump1_Set_tempC</t>
  </si>
  <si>
    <t>DB201.DBD4</t>
  </si>
  <si>
    <t>Pump1_Set_tempDE</t>
  </si>
  <si>
    <t>DB201.DBD6</t>
  </si>
  <si>
    <t>Pump1_Set_tempNDE</t>
  </si>
  <si>
    <t>DB201.DBD8</t>
  </si>
  <si>
    <t>Pump2_Set_tempA</t>
  </si>
  <si>
    <t>DB201.DBD10</t>
  </si>
  <si>
    <t>Pump2_Set_tempB</t>
  </si>
  <si>
    <t>DB201.DBD12</t>
  </si>
  <si>
    <t>Pump2_Set_tempC</t>
  </si>
  <si>
    <t>DB201.DBD14</t>
  </si>
  <si>
    <t>Pump2_Set_tempDE</t>
  </si>
  <si>
    <t>DB201.DBD16</t>
  </si>
  <si>
    <t>Pump2_Set_tempNDE</t>
  </si>
  <si>
    <t>DB201.DBD18</t>
  </si>
  <si>
    <t>Pump3_Set_tempA</t>
  </si>
  <si>
    <t>DB201.DBD20</t>
  </si>
  <si>
    <t>Pump3_Set_tempB</t>
  </si>
  <si>
    <t>DB201.DBD22</t>
  </si>
  <si>
    <t>Pump3_Set_tempC</t>
  </si>
  <si>
    <t>DB201.DBD24</t>
  </si>
  <si>
    <t>Pump3_Set_tempDE</t>
  </si>
  <si>
    <t>DB201.DBD26</t>
  </si>
  <si>
    <t>Pump3_Set_tempNDE</t>
  </si>
  <si>
    <t>DB201.DBD28</t>
  </si>
  <si>
    <t>Pump4_Set_tempA</t>
  </si>
  <si>
    <t>DB201.DBD30</t>
  </si>
  <si>
    <t>Pump4_Set_tempB</t>
  </si>
  <si>
    <t>DB201.DBD32</t>
  </si>
  <si>
    <t>Pump4_Set_tempC</t>
  </si>
  <si>
    <t>DB201.DBD34</t>
  </si>
  <si>
    <t>Pump4_Set_tempDE</t>
  </si>
  <si>
    <t>DB201.DBD36</t>
  </si>
  <si>
    <t>Pump4_Set_tempNDE</t>
  </si>
  <si>
    <t>DB201.DBD38</t>
  </si>
  <si>
    <t>Pump5_Set_tempA</t>
  </si>
  <si>
    <t>DB201.DBD40</t>
  </si>
  <si>
    <t>Pump5_Set_tempB</t>
  </si>
  <si>
    <t>DB201.DBD42</t>
  </si>
  <si>
    <t>Pump5_Set_tempC</t>
  </si>
  <si>
    <t>DB201.DBD44</t>
  </si>
  <si>
    <t>Pump5_Set_tempDE</t>
  </si>
  <si>
    <t>DB201.DBD46</t>
  </si>
  <si>
    <t>Pump5_Set_tempNDE</t>
  </si>
  <si>
    <t>DB201.DBD48</t>
  </si>
  <si>
    <t>Pump6_Set_tempA</t>
  </si>
  <si>
    <t>DB201.DBD50</t>
  </si>
  <si>
    <t>Pump6_Set_tempB</t>
  </si>
  <si>
    <t>DB201.DBD52</t>
  </si>
  <si>
    <t>Pump6_Set_tempC</t>
  </si>
  <si>
    <t>DB201.DBD54</t>
  </si>
  <si>
    <t>Pump6_Set_tempDE</t>
  </si>
  <si>
    <t>DB201.DBD56</t>
  </si>
  <si>
    <t>Pump6_Set_tempNDE</t>
  </si>
  <si>
    <t>DB201.DBD58</t>
  </si>
  <si>
    <t>Pump7_Set_tempA</t>
  </si>
  <si>
    <t>DB201.DBD60</t>
  </si>
  <si>
    <t>Pump7_Set_tempB</t>
  </si>
  <si>
    <t>DB201.DBD62</t>
  </si>
  <si>
    <t>Pump7_Set_tempC</t>
  </si>
  <si>
    <t>DB201.DBD64</t>
  </si>
  <si>
    <t>Pump7_Set_tempDE</t>
  </si>
  <si>
    <t>DB201.DBD66</t>
  </si>
  <si>
    <t>Pump7_Set_tempNDE</t>
  </si>
  <si>
    <t>DB201.DBD68</t>
  </si>
  <si>
    <t>Pump8_Set_tempA</t>
  </si>
  <si>
    <t>DB201.DBD70</t>
  </si>
  <si>
    <t>Pump8_Set_tempB</t>
  </si>
  <si>
    <t>DB201.DBD72</t>
  </si>
  <si>
    <t>Pump8_Set_tempC</t>
  </si>
  <si>
    <t>DB201.DBD74</t>
  </si>
  <si>
    <t>Pump8_Set_tempDE</t>
  </si>
  <si>
    <t>DB201.DBD76</t>
  </si>
  <si>
    <t>Pump8_Set_tempNDE</t>
  </si>
  <si>
    <t>DB201.DBD78</t>
  </si>
  <si>
    <t>Pump9_Set_tempA</t>
  </si>
  <si>
    <t>DB201.DBD80</t>
  </si>
  <si>
    <t>Pump9_Set_tempB</t>
  </si>
  <si>
    <t>DB201.DBD82</t>
  </si>
  <si>
    <t>Pump9_Set_tempC</t>
  </si>
  <si>
    <t>DB201.DBD84</t>
  </si>
  <si>
    <t>Pump9_Set_tempDE</t>
  </si>
  <si>
    <t>DB201.DBD86</t>
  </si>
  <si>
    <t>Pump9_Set_tempNDE</t>
  </si>
  <si>
    <t>DB201.DBD88</t>
  </si>
  <si>
    <t>Pump10_Set_tempA</t>
  </si>
  <si>
    <t>DB201.DBD90</t>
  </si>
  <si>
    <t>Pump10_Set_tempB</t>
  </si>
  <si>
    <t>DB201.DBD92</t>
  </si>
  <si>
    <t>Pump10_Set_tempC</t>
  </si>
  <si>
    <t>DB201.DBD94</t>
  </si>
  <si>
    <t>Pump10_Set_tempDE</t>
  </si>
  <si>
    <t>DB201.DBD96</t>
  </si>
  <si>
    <t>Pump10_Set_tempNDE</t>
  </si>
  <si>
    <t>DB201.DBD98</t>
  </si>
  <si>
    <t>Trạng thái chạy</t>
  </si>
  <si>
    <t>Trạng thái lỗi</t>
  </si>
  <si>
    <t>Giá trị nhiệt độ PhaseA</t>
  </si>
  <si>
    <t>Giá trị nhiệt độ PhaseB</t>
  </si>
  <si>
    <t>Giá trị nhiệt độ PhaseC</t>
  </si>
  <si>
    <t>Dòng điện</t>
  </si>
  <si>
    <t>Dòng điện dây R</t>
  </si>
  <si>
    <t>Dòng điện dây S</t>
  </si>
  <si>
    <t>Dòng điện dây T</t>
  </si>
  <si>
    <t>Điện áp pha R</t>
  </si>
  <si>
    <t>Điện áp pha S</t>
  </si>
  <si>
    <t>Điện áp pha T</t>
  </si>
  <si>
    <t>Điện áp pha trung bình</t>
  </si>
  <si>
    <t>Điện áp dây RS</t>
  </si>
  <si>
    <t>Điện áp dây ST</t>
  </si>
  <si>
    <t>Điện áp dây RT</t>
  </si>
  <si>
    <t>Điện áp dây trung bình</t>
  </si>
  <si>
    <t>Công suất dây R</t>
  </si>
  <si>
    <t>Công suất dây S</t>
  </si>
  <si>
    <t>Công suất dây T</t>
  </si>
  <si>
    <t>Công suất biểu kiến dây R</t>
  </si>
  <si>
    <t>Công suất biểu kiến dây S</t>
  </si>
  <si>
    <t>Công suất biểu kiến dây T</t>
  </si>
  <si>
    <t>Công suất phản kháng dây R</t>
  </si>
  <si>
    <t>Công suất phản kháng dây S</t>
  </si>
  <si>
    <t>Công suất phản kháng dây T</t>
  </si>
  <si>
    <t>Tổng công suất</t>
  </si>
  <si>
    <t>Tổng công suất biểu kiến</t>
  </si>
  <si>
    <t>Tổng công suất phản kháng</t>
  </si>
  <si>
    <t>Hệ số công suất pha R</t>
  </si>
  <si>
    <t>Hệ số công suất pha S</t>
  </si>
  <si>
    <t>Hệ số công suất pha T</t>
  </si>
  <si>
    <t>Hệ số công suất trung bình</t>
  </si>
  <si>
    <t>Tần số</t>
  </si>
  <si>
    <t>Điện năng tiêu thụ</t>
  </si>
  <si>
    <t>Điện năng biểu kiến</t>
  </si>
  <si>
    <t>Điện năng hao phí phản kháng</t>
  </si>
  <si>
    <t>Điều khiển chạy tự động</t>
  </si>
  <si>
    <t>Điều khiển chạy bằng tay</t>
  </si>
  <si>
    <t>Điều khiển dừng bằng tay</t>
  </si>
  <si>
    <t>Xóa thời gian chạy</t>
  </si>
  <si>
    <t>Thời gian chạy theo phút</t>
  </si>
  <si>
    <t>Thời gian chạy theo giờ</t>
  </si>
  <si>
    <t>Tổng thời gian theo phút</t>
  </si>
  <si>
    <t>Tổng thời gian theo giờ</t>
  </si>
  <si>
    <t>Số lần đóng cắt</t>
  </si>
  <si>
    <t>Giá trị nhiệt độ Bi dưới</t>
  </si>
  <si>
    <t>Giá trị nhiệt độ Bi trên</t>
  </si>
  <si>
    <t>Trạng thái lỗi Bơm</t>
  </si>
  <si>
    <t>Trạng thái tự động</t>
  </si>
  <si>
    <t>Lỗi nhiệt độ</t>
  </si>
  <si>
    <t>Xung Clock</t>
  </si>
  <si>
    <t>Trạng thái Dừng</t>
  </si>
  <si>
    <t>Trạng thái chạy Bơm mồi 1</t>
  </si>
  <si>
    <t>Trạng thái dừng Bơm mồi 1</t>
  </si>
  <si>
    <t>Trạng thái lỗi Bơm mồi 1</t>
  </si>
  <si>
    <t>Trạng thái chạy Bơm mồi 2</t>
  </si>
  <si>
    <t>Trạng thái dừng Bơm mồi 2</t>
  </si>
  <si>
    <t>Trạng thái lỗi Bơm mồi 2</t>
  </si>
  <si>
    <t>Mức nước sông</t>
  </si>
  <si>
    <t>Mức nước bể xả 1</t>
  </si>
  <si>
    <t>Mức nước bể xả 2</t>
  </si>
  <si>
    <t>Mức nước bể xả 3</t>
  </si>
  <si>
    <t>Mức nước bể xả 4</t>
  </si>
  <si>
    <t>Mức nước bể xả 5</t>
  </si>
  <si>
    <t>Mức nước bể xả 6</t>
  </si>
  <si>
    <t>Mức nước bể xả 7</t>
  </si>
  <si>
    <t>Mức nước bể xả 8</t>
  </si>
  <si>
    <t>Mức nước bể xả 9</t>
  </si>
  <si>
    <t>Mức nước bể xả 10</t>
  </si>
  <si>
    <t>Nhiệt độ cài đặt cuộn A</t>
  </si>
  <si>
    <t>Nhiệt độ cài đặt cuộn B</t>
  </si>
  <si>
    <t>Nhiệt độ cài đặt cuộn C</t>
  </si>
  <si>
    <t>Nhiệt độ cài đặt bi dưới</t>
  </si>
  <si>
    <t>Nhiệt độ cài đặt bi trên</t>
  </si>
  <si>
    <t>Trạm Bơm Ấp Bắc</t>
  </si>
  <si>
    <t>Redis</t>
  </si>
  <si>
    <t>Station</t>
  </si>
  <si>
    <t>PLC</t>
  </si>
  <si>
    <t>TBAB</t>
  </si>
  <si>
    <t>PLC01</t>
  </si>
  <si>
    <t>Device</t>
  </si>
  <si>
    <t>Value</t>
  </si>
  <si>
    <t>Realtime</t>
  </si>
  <si>
    <t>Trend</t>
  </si>
  <si>
    <t>Báo cáo</t>
  </si>
  <si>
    <t>Pump1_FB_maintenance</t>
  </si>
  <si>
    <t>Bảo dưỡng, sửa chưã</t>
  </si>
  <si>
    <t>Nguyên lý</t>
  </si>
  <si>
    <t>Công nghệ</t>
  </si>
  <si>
    <t>Chi tiết bơm</t>
  </si>
  <si>
    <t>Có</t>
  </si>
  <si>
    <t>Lỗi</t>
  </si>
  <si>
    <t>nhiệt độ bi dưới thực tế</t>
  </si>
  <si>
    <t>nhiệt độ bi trên thực tế</t>
  </si>
  <si>
    <t>nhiệt độ cuộn A thực tế</t>
  </si>
  <si>
    <t>nhiệt độ cuộn B thực tế</t>
  </si>
  <si>
    <t>nhiệt độ cuộn C thực tế</t>
  </si>
  <si>
    <t xml:space="preserve">Dòng điện </t>
  </si>
  <si>
    <t>Hệ số công suất</t>
  </si>
  <si>
    <t>Công suất</t>
  </si>
  <si>
    <t>T.Gian</t>
  </si>
  <si>
    <t>Mực Nước</t>
  </si>
  <si>
    <t>PrimingPump1_FB_Run</t>
  </si>
  <si>
    <t>PrimingPump1_FB_Stop</t>
  </si>
  <si>
    <t>PrimingPump1_FB_Fault</t>
  </si>
  <si>
    <t>PrimingPump1_FB_maintenance</t>
  </si>
  <si>
    <t>PrimingPump2_FB_Run</t>
  </si>
  <si>
    <t>PrimingPump2_FB_Stop</t>
  </si>
  <si>
    <t>PrimingPump2_FB_Fault</t>
  </si>
  <si>
    <t>PrimingPump2_FB_maintenance</t>
  </si>
  <si>
    <t>Tgian chạy tức thời</t>
  </si>
  <si>
    <t>Tgian chạy tổng</t>
  </si>
  <si>
    <t>Nhiệt độ cho phép cuộn A</t>
  </si>
  <si>
    <t>Nhiệt độ cho phép cuộn B</t>
  </si>
  <si>
    <t>Nhiệt độ cho phép cuộn C</t>
  </si>
  <si>
    <t>Nhiệt độ cho phép bi dưới</t>
  </si>
  <si>
    <t>Nhiệt độ cho phép Bi trên</t>
  </si>
  <si>
    <t>nhiệt độ bi dưới</t>
  </si>
  <si>
    <t>nhiệt độ bi trên</t>
  </si>
  <si>
    <t>nhiệt độ cuộn A</t>
  </si>
  <si>
    <t>nhiệt độ cuộn B</t>
  </si>
  <si>
    <t>nhiệt độ cuộn C</t>
  </si>
  <si>
    <t>Dòng điện  R</t>
  </si>
  <si>
    <t>Dòng điện S</t>
  </si>
  <si>
    <t>Dòng điện T</t>
  </si>
  <si>
    <t>Mức bể xả</t>
  </si>
  <si>
    <t xml:space="preserve">Dòng điện trung bình </t>
  </si>
  <si>
    <t>Pump2_FB_maintenance</t>
  </si>
  <si>
    <t>Pump3_FB_maintenance</t>
  </si>
  <si>
    <t>Pump4_FB_maintenance</t>
  </si>
  <si>
    <t>Pump5_FB_maintenance</t>
  </si>
  <si>
    <t>Pump6_FB_maintenance</t>
  </si>
  <si>
    <t>Pump7_FB_maintenance</t>
  </si>
  <si>
    <t>Pump8_FB_maintenance</t>
  </si>
  <si>
    <t>Pump9_FB_maintenance</t>
  </si>
  <si>
    <t>Pump10_FB_maintenance</t>
  </si>
  <si>
    <t>Metter0_Set_CurentR</t>
  </si>
  <si>
    <t>Metter0_Set_CurentS</t>
  </si>
  <si>
    <t>Metter0_Set_CurentT</t>
  </si>
  <si>
    <t>Metter1_Set_CurentR</t>
  </si>
  <si>
    <t>Metter1_Set_CurentS</t>
  </si>
  <si>
    <t>Metter1_Set_CurentT</t>
  </si>
  <si>
    <t>Metter2_Set_CurentR</t>
  </si>
  <si>
    <t>Metter2_Set_CurentS</t>
  </si>
  <si>
    <t>Metter2_Set_CurentT</t>
  </si>
  <si>
    <t>Metter3_Set_CurentR</t>
  </si>
  <si>
    <t>Metter3_Set_CurentS</t>
  </si>
  <si>
    <t>Metter3_Set_CurentT</t>
  </si>
  <si>
    <t>Metter4_Set_CurentR</t>
  </si>
  <si>
    <t>Metter4_Set_CurentS</t>
  </si>
  <si>
    <t>Metter4_Set_CurentT</t>
  </si>
  <si>
    <t>Metter5_Set_CurentR</t>
  </si>
  <si>
    <t>Metter5_Set_CurentS</t>
  </si>
  <si>
    <t>Metter5_Set_CurentT</t>
  </si>
  <si>
    <t>Metter6_Set_CurentR</t>
  </si>
  <si>
    <t>Metter6_Set_CurentS</t>
  </si>
  <si>
    <t>Metter6_Set_CurentT</t>
  </si>
  <si>
    <t>Metter7_Set_CurentR</t>
  </si>
  <si>
    <t>Metter7_Set_CurentS</t>
  </si>
  <si>
    <t>Metter7_Set_CurentT</t>
  </si>
  <si>
    <t>Metter8_Set_CurentR</t>
  </si>
  <si>
    <t>Metter8_Set_CurentS</t>
  </si>
  <si>
    <t>Metter8_Set_CurentT</t>
  </si>
  <si>
    <t>Metter9_Set_CurentR</t>
  </si>
  <si>
    <t>Metter9_Set_CurentS</t>
  </si>
  <si>
    <t>Metter9_Set_CurentT</t>
  </si>
  <si>
    <t>Metter10_Set_CurentR</t>
  </si>
  <si>
    <t>Metter10_Set_CurentS</t>
  </si>
  <si>
    <t>Metter10_Set_CurentT</t>
  </si>
  <si>
    <t>dòng điện R cho phép</t>
  </si>
  <si>
    <t>dòng điện S cho phép</t>
  </si>
  <si>
    <t>dòng điện T cho phép</t>
  </si>
  <si>
    <t>Real</t>
  </si>
  <si>
    <t>Thông số điện</t>
  </si>
  <si>
    <t>Meta Data</t>
  </si>
  <si>
    <t>công suất</t>
  </si>
  <si>
    <t>I1</t>
  </si>
  <si>
    <t>I2</t>
  </si>
  <si>
    <t>I3</t>
  </si>
  <si>
    <t>V1</t>
  </si>
  <si>
    <t>V2</t>
  </si>
  <si>
    <t>V3</t>
  </si>
  <si>
    <t>Bơm 1- 160Kw</t>
  </si>
  <si>
    <t>Bơm 2- 160Kw</t>
  </si>
  <si>
    <t>Bơm 3- 160Kw</t>
  </si>
  <si>
    <t>Bơm 4- 160Kw</t>
  </si>
  <si>
    <t>Bơm 5- 160Kw</t>
  </si>
  <si>
    <t>Động cơ màu xanh dương</t>
  </si>
  <si>
    <t>Động cơ màu đỏ</t>
  </si>
  <si>
    <t>Động cơ màu vàng</t>
  </si>
  <si>
    <t>Động cơ xanh lá/ KĐM Xanh Lá</t>
  </si>
  <si>
    <t>Động cơ màu đỏ/KĐM Màu đỏ</t>
  </si>
  <si>
    <t>KDM màu vàng</t>
  </si>
  <si>
    <t>Bơm 6- 160Kw</t>
  </si>
  <si>
    <t>Bơm 7- 160Kw</t>
  </si>
  <si>
    <t>Bơm 8- 160Kw</t>
  </si>
  <si>
    <t>Bơm 9- 160Kw</t>
  </si>
  <si>
    <t>Bơm 10- 160Kw</t>
  </si>
  <si>
    <t>Động cơ xanh lá</t>
  </si>
  <si>
    <t>Bơm mồi 1</t>
  </si>
  <si>
    <t>Bơm mồi 2</t>
  </si>
  <si>
    <t>Động cơ màu xanh lá</t>
  </si>
  <si>
    <t>Sông Hồng</t>
  </si>
  <si>
    <t>Mực nước</t>
  </si>
  <si>
    <t>Nhiệt độ cuộn dây thực tế- Cuộn A</t>
  </si>
  <si>
    <t>Nhiệt độ cuộn dây thực tế- Cuộn B</t>
  </si>
  <si>
    <t>Nhiệt độ cuộn dây thực tế- Cuộn C</t>
  </si>
  <si>
    <t>Nhiệt độ cuộn dây thực tế- Ổ bi dưới</t>
  </si>
  <si>
    <t>Nhiệt độ cuộn dây thực tế- Ổ bi trên</t>
  </si>
  <si>
    <t>Điện áp dây TR</t>
  </si>
  <si>
    <t>Thời gian chạy/ Tổng</t>
  </si>
  <si>
    <t>Thời gian tức thời/ Tổng</t>
  </si>
  <si>
    <t>Sông</t>
  </si>
  <si>
    <t>Bể xả</t>
  </si>
  <si>
    <t>Pump1_FB_ON_MCCB</t>
  </si>
  <si>
    <t>Pump1_FB_Stop</t>
  </si>
  <si>
    <t>DB106.DBX1.0</t>
  </si>
  <si>
    <t>Trạng thái MCCB</t>
  </si>
  <si>
    <t>Trạng thái đóng MCCB</t>
  </si>
  <si>
    <t>Pump3_FB_ON_MCCB</t>
  </si>
  <si>
    <t>Pump3_FB_Stop</t>
  </si>
  <si>
    <t>DB108.DBX1.0</t>
  </si>
  <si>
    <t>Bơm 4- 132Kw</t>
  </si>
  <si>
    <t>Bơm 5- 132Kw</t>
  </si>
  <si>
    <t>Bơm 6- 132Kw</t>
  </si>
  <si>
    <t>Bơm 7- 132Kw</t>
  </si>
  <si>
    <t>DB107.DBX1.0</t>
  </si>
  <si>
    <t>DB101.DBX1.0</t>
  </si>
  <si>
    <t>DB102.DBX1.0</t>
  </si>
  <si>
    <t>DB103.DBX1.0</t>
  </si>
  <si>
    <t>DB104.DBX1.0</t>
  </si>
  <si>
    <t>DB105.DBX1.0</t>
  </si>
  <si>
    <t>DB109.DBX1.0</t>
  </si>
  <si>
    <t>DB110.DBX1.0</t>
  </si>
  <si>
    <t>Pump4_FB_ON_MCCB</t>
  </si>
  <si>
    <t>Pump4_FB_Stop</t>
  </si>
  <si>
    <t>Pump5_FB_ON_MCCB</t>
  </si>
  <si>
    <t>Pump5_FB_Stop</t>
  </si>
  <si>
    <t>Pump6_FB_ON_MCCB</t>
  </si>
  <si>
    <t>Pump6_FB_Stop</t>
  </si>
  <si>
    <t>Pump7_FB_ON_MCCB</t>
  </si>
  <si>
    <t>Pump7_FB_Stop</t>
  </si>
  <si>
    <t>Pump8_FB_ON_MCCB</t>
  </si>
  <si>
    <t>Pump8_FB_Stop</t>
  </si>
  <si>
    <t>Pump9_FB_ON_MCCB</t>
  </si>
  <si>
    <t>Pump9_FB_Stop</t>
  </si>
  <si>
    <t>Pump10_FB_ON_MCCB</t>
  </si>
  <si>
    <t>Pump10_FB_Stop</t>
  </si>
  <si>
    <t>DB111.DBX1.0</t>
  </si>
  <si>
    <t>DB112.DBX1.0</t>
  </si>
  <si>
    <t>Pump1_Ctrl_PB_Maintenance</t>
  </si>
  <si>
    <t>Xác nhận bảo dưỡng</t>
  </si>
  <si>
    <t>Trạng thái bảo dưỡng</t>
  </si>
  <si>
    <t>Pump1_FB_Maintenance</t>
  </si>
  <si>
    <t>DB106.DBX142.4</t>
  </si>
  <si>
    <t>DB106.DBX142.5</t>
  </si>
  <si>
    <t>Bơm màu xanh dương</t>
  </si>
  <si>
    <t>DB107.DBX142.4</t>
  </si>
  <si>
    <t>DB107.DBX142.5</t>
  </si>
  <si>
    <t>Pump2_Ctrl_PB_Maintenance</t>
  </si>
  <si>
    <t>Pump2_FB_Maintenance</t>
  </si>
  <si>
    <t>Pump3_Ctrl_PB_Maintenance</t>
  </si>
  <si>
    <t>Pump3_FB_Maintenance</t>
  </si>
  <si>
    <t>Pump4_Ctrl_PB_Maintenance</t>
  </si>
  <si>
    <t>Pump4_FB_Maintenance</t>
  </si>
  <si>
    <t>Pump5_Ctrl_PB_Maintenance</t>
  </si>
  <si>
    <t>Pump5_FB_Maintenance</t>
  </si>
  <si>
    <t>Pump6_Ctrl_PB_Maintenance</t>
  </si>
  <si>
    <t>Pump6_FB_Maintenance</t>
  </si>
  <si>
    <t>Pump7_Ctrl_PB_Maintenance</t>
  </si>
  <si>
    <t>Pump7_FB_Maintenance</t>
  </si>
  <si>
    <t>Pump8_Ctrl_PB_Maintenance</t>
  </si>
  <si>
    <t>Pump8_FB_Maintenance</t>
  </si>
  <si>
    <t>Pump9_Ctrl_PB_Maintenance</t>
  </si>
  <si>
    <t>Pump9_FB_Maintenance</t>
  </si>
  <si>
    <t>DB108.DBX142.4</t>
  </si>
  <si>
    <t>DB108.DBX142.5</t>
  </si>
  <si>
    <t>DB101.DBX142.4</t>
  </si>
  <si>
    <t>DB101.DBX142.5</t>
  </si>
  <si>
    <t>DB102.DBX142.4</t>
  </si>
  <si>
    <t>DB102.DBX142.5</t>
  </si>
  <si>
    <t>DB103.DBX142.4</t>
  </si>
  <si>
    <t>DB103.DBX142.5</t>
  </si>
  <si>
    <t>DB104.DBX142.4</t>
  </si>
  <si>
    <t>DB104.DBX142.5</t>
  </si>
  <si>
    <t>DB105.DBX142.4</t>
  </si>
  <si>
    <t>DB105.DBX142.5</t>
  </si>
  <si>
    <t>DB109.DBX142.4</t>
  </si>
  <si>
    <t>DB109.DBX142.5</t>
  </si>
  <si>
    <t>DB110.DBX142.4</t>
  </si>
  <si>
    <t>DB110.DBX142.5</t>
  </si>
  <si>
    <t>Pump10_Ctrl_PB_Maintenance</t>
  </si>
  <si>
    <t>Pump10_FB_Maintenance</t>
  </si>
  <si>
    <t>DB111.DBX142.4</t>
  </si>
  <si>
    <t>DB111.DBX142.5</t>
  </si>
  <si>
    <t>PrimingPump1_Ctrl_PB_Maintenance</t>
  </si>
  <si>
    <t>PrimingPump1_FB_Maintenance</t>
  </si>
  <si>
    <t>DB112.DBX142.4</t>
  </si>
  <si>
    <t>DB112.DBX142.5</t>
  </si>
  <si>
    <t>PrimingPump2_Ctrl_PB_Maintenance</t>
  </si>
  <si>
    <t>PrimingPump2_FB_Maintenance</t>
  </si>
  <si>
    <t>PrimingPump1_Ctrl_PB_Run</t>
  </si>
  <si>
    <t>PrimingPump1_Ctrl_PB_Stop</t>
  </si>
  <si>
    <t>PrimingPump1_Ctrl_PB_RST</t>
  </si>
  <si>
    <t>DB111.DBX142.1</t>
  </si>
  <si>
    <t>DB111.DBX142.2</t>
  </si>
  <si>
    <t>DB111.DBX142.3</t>
  </si>
  <si>
    <t>PrimingPump2_Ctrl_PB_Run</t>
  </si>
  <si>
    <t>PrimingPump2_Ctrl_PB_Stop</t>
  </si>
  <si>
    <t>PrimingPump2_Ctrl_PB_RST</t>
  </si>
  <si>
    <t>DB112.DBX142.1</t>
  </si>
  <si>
    <t>DB112.DBX142.2</t>
  </si>
  <si>
    <t>DB112.DBX142.3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</si>
</sst>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1" xfId="0" applyBorder="1" applyAlignment="1">
      <alignment wrapText="1"/>
    </xf>
    <xf numFmtId="0" fontId="0" fillId="3" borderId="0" xfId="0" applyFill="1"/>
    <xf numFmtId="0" fontId="0" fillId="7" borderId="0" xfId="0" applyFill="1"/>
    <xf numFmtId="0" fontId="0" fillId="0" borderId="2" xfId="0" applyBorder="1"/>
    <xf numFmtId="0" fontId="0" fillId="0" borderId="0" xfId="0" applyAlignment="1">
      <alignment horizontal="center" vertical="center" wrapText="1"/>
    </xf>
    <xf numFmtId="0" fontId="2" fillId="7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2" fillId="0" borderId="0" xfId="0" applyFont="1" applyFill="1"/>
    <xf numFmtId="0" fontId="2" fillId="0" borderId="0" xfId="0" applyFont="1" applyFill="1" applyAlignment="1">
      <alignment vertical="center"/>
    </xf>
    <xf numFmtId="0" fontId="2" fillId="0" borderId="1" xfId="0" applyFont="1" applyFill="1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888E8-C27F-40C7-AD3B-10EF5B4FDF56}">
  <sheetPr filterMode="1"/>
  <dimension ref="A1:L716"/>
  <sheetViews>
    <sheetView tabSelected="1" workbookViewId="0">
      <pane ySplit="3" topLeftCell="A4" activePane="bottomLeft" state="frozen"/>
      <selection pane="bottomLeft" activeCell="H720" sqref="H720"/>
    </sheetView>
  </sheetViews>
  <sheetFormatPr defaultRowHeight="15" x14ac:dyDescent="0.25"/>
  <cols>
    <col min="1" max="1" width="29.28515625" style="1" customWidth="1"/>
    <col min="2" max="2" width="34" customWidth="1"/>
    <col min="3" max="3" width="16" style="1" customWidth="1"/>
    <col min="4" max="4" width="11.42578125" style="1" customWidth="1"/>
    <col min="5" max="5" width="36.42578125" customWidth="1"/>
    <col min="7" max="7" width="15.85546875" customWidth="1"/>
    <col min="8" max="8" width="29.85546875" customWidth="1"/>
    <col min="11" max="11" width="19.28515625" customWidth="1"/>
    <col min="12" max="12" width="20.85546875" customWidth="1"/>
  </cols>
  <sheetData>
    <row r="1" spans="1:12" x14ac:dyDescent="0.25">
      <c r="F1" s="6" t="s">
        <v>1382</v>
      </c>
      <c r="G1" s="8"/>
      <c r="H1" s="8"/>
    </row>
    <row r="2" spans="1:12" x14ac:dyDescent="0.25">
      <c r="A2" s="5" t="s">
        <v>1</v>
      </c>
      <c r="B2" s="5" t="s">
        <v>0</v>
      </c>
      <c r="C2" s="5" t="s">
        <v>2</v>
      </c>
      <c r="D2" s="5" t="s">
        <v>3</v>
      </c>
      <c r="E2" s="5" t="s">
        <v>4</v>
      </c>
      <c r="H2" s="8" t="s">
        <v>1481</v>
      </c>
      <c r="I2" s="6" t="s">
        <v>1383</v>
      </c>
      <c r="J2" s="6" t="s">
        <v>1384</v>
      </c>
      <c r="K2" s="6" t="s">
        <v>1387</v>
      </c>
      <c r="L2" s="6" t="s">
        <v>0</v>
      </c>
    </row>
    <row r="3" spans="1:12" hidden="1" x14ac:dyDescent="0.25">
      <c r="A3" s="4" t="s">
        <v>1381</v>
      </c>
      <c r="B3" s="4"/>
      <c r="C3" s="4"/>
      <c r="D3" s="4"/>
      <c r="E3" s="4"/>
      <c r="I3" t="s">
        <v>1385</v>
      </c>
      <c r="J3" t="s">
        <v>1386</v>
      </c>
    </row>
    <row r="4" spans="1:12" s="27" customFormat="1" hidden="1" x14ac:dyDescent="0.25">
      <c r="A4" s="25">
        <v>1</v>
      </c>
      <c r="B4" s="26" t="s">
        <v>5</v>
      </c>
      <c r="C4" s="25" t="s">
        <v>6</v>
      </c>
      <c r="D4" s="25" t="s">
        <v>7</v>
      </c>
      <c r="E4" s="26" t="s">
        <v>1355</v>
      </c>
      <c r="G4" s="28" t="s">
        <v>1489</v>
      </c>
      <c r="K4" s="29" t="str">
        <f>LEFT(B4, SEARCH("_",B4 ) - 1)</f>
        <v>Pump1</v>
      </c>
      <c r="L4" s="27" t="str">
        <f>RIGHT(B4,LEN(B4)-6)</f>
        <v>FB_auto</v>
      </c>
    </row>
    <row r="5" spans="1:12" s="27" customFormat="1" hidden="1" x14ac:dyDescent="0.25">
      <c r="A5" s="25">
        <v>2</v>
      </c>
      <c r="B5" s="26" t="s">
        <v>8</v>
      </c>
      <c r="C5" s="25" t="s">
        <v>9</v>
      </c>
      <c r="D5" s="25" t="s">
        <v>7</v>
      </c>
      <c r="E5" s="26" t="s">
        <v>1306</v>
      </c>
      <c r="G5" s="28"/>
      <c r="H5" s="27" t="s">
        <v>1505</v>
      </c>
      <c r="K5" s="29" t="str">
        <f t="shared" ref="K5:K72" si="0">LEFT(B5, SEARCH("_",B5 ) - 1)</f>
        <v>Pump1</v>
      </c>
      <c r="L5" s="27" t="str">
        <f t="shared" ref="L5:L10" si="1">RIGHT(B5,LEN(B5)-6)</f>
        <v>FB_Run</v>
      </c>
    </row>
    <row r="6" spans="1:12" s="27" customFormat="1" hidden="1" x14ac:dyDescent="0.25">
      <c r="A6" s="25">
        <v>3</v>
      </c>
      <c r="B6" s="26" t="s">
        <v>10</v>
      </c>
      <c r="C6" s="25" t="s">
        <v>11</v>
      </c>
      <c r="D6" s="25" t="s">
        <v>7</v>
      </c>
      <c r="E6" s="26" t="s">
        <v>1307</v>
      </c>
      <c r="G6" s="28"/>
      <c r="K6" s="29" t="str">
        <f t="shared" si="0"/>
        <v>Pump1</v>
      </c>
      <c r="L6" s="27" t="str">
        <f t="shared" si="1"/>
        <v>FB_Fault_V</v>
      </c>
    </row>
    <row r="7" spans="1:12" s="27" customFormat="1" hidden="1" x14ac:dyDescent="0.25">
      <c r="A7" s="25">
        <v>4</v>
      </c>
      <c r="B7" s="26" t="s">
        <v>12</v>
      </c>
      <c r="C7" s="25" t="s">
        <v>13</v>
      </c>
      <c r="D7" s="25" t="s">
        <v>7</v>
      </c>
      <c r="E7" s="26" t="s">
        <v>1307</v>
      </c>
      <c r="G7" s="28"/>
      <c r="K7" s="29" t="str">
        <f t="shared" si="0"/>
        <v>Pump1</v>
      </c>
      <c r="L7" s="27" t="str">
        <f t="shared" si="1"/>
        <v>FB_Fault_SS</v>
      </c>
    </row>
    <row r="8" spans="1:12" s="27" customFormat="1" hidden="1" x14ac:dyDescent="0.25">
      <c r="A8" s="25">
        <v>5</v>
      </c>
      <c r="B8" s="26" t="s">
        <v>14</v>
      </c>
      <c r="C8" s="25" t="s">
        <v>15</v>
      </c>
      <c r="D8" s="25" t="s">
        <v>7</v>
      </c>
      <c r="E8" s="26" t="s">
        <v>1356</v>
      </c>
      <c r="G8" s="28"/>
      <c r="K8" s="29" t="str">
        <f t="shared" si="0"/>
        <v>Pump1</v>
      </c>
      <c r="L8" s="27" t="str">
        <f t="shared" si="1"/>
        <v>FB_Fault_Temp</v>
      </c>
    </row>
    <row r="9" spans="1:12" s="27" customFormat="1" hidden="1" x14ac:dyDescent="0.25">
      <c r="A9" s="25">
        <v>6</v>
      </c>
      <c r="B9" s="26" t="s">
        <v>16</v>
      </c>
      <c r="C9" s="25" t="s">
        <v>17</v>
      </c>
      <c r="D9" s="25" t="s">
        <v>7</v>
      </c>
      <c r="E9" s="26" t="s">
        <v>1307</v>
      </c>
      <c r="G9" s="28"/>
      <c r="K9" s="29" t="str">
        <f t="shared" si="0"/>
        <v>Pump1</v>
      </c>
      <c r="L9" s="27" t="str">
        <f t="shared" si="1"/>
        <v>FB_Fault_Curent</v>
      </c>
    </row>
    <row r="10" spans="1:12" s="27" customFormat="1" hidden="1" x14ac:dyDescent="0.25">
      <c r="A10" s="25">
        <v>7</v>
      </c>
      <c r="B10" s="26" t="s">
        <v>18</v>
      </c>
      <c r="C10" s="25" t="s">
        <v>19</v>
      </c>
      <c r="D10" s="25" t="s">
        <v>7</v>
      </c>
      <c r="E10" s="26" t="s">
        <v>1357</v>
      </c>
      <c r="G10" s="28"/>
      <c r="K10" s="29" t="str">
        <f t="shared" si="0"/>
        <v>Pump1</v>
      </c>
      <c r="L10" s="27" t="str">
        <f t="shared" si="1"/>
        <v>Clock_1m</v>
      </c>
    </row>
    <row r="11" spans="1:12" s="30" customFormat="1" x14ac:dyDescent="0.25">
      <c r="A11" s="23"/>
      <c r="B11" s="24" t="s">
        <v>1521</v>
      </c>
      <c r="C11" s="23" t="s">
        <v>21</v>
      </c>
      <c r="D11" s="23" t="s">
        <v>7</v>
      </c>
      <c r="E11" s="24" t="s">
        <v>1525</v>
      </c>
      <c r="G11" s="28"/>
      <c r="H11" s="17" t="s">
        <v>1524</v>
      </c>
      <c r="K11" s="31" t="str">
        <f t="shared" si="0"/>
        <v>Pump1</v>
      </c>
      <c r="L11" s="31" t="str">
        <f t="shared" ref="L11:L77" si="2">RIGHT(B11, LEN(B11)-SEARCH("_",B11 ))</f>
        <v>FB_ON_MCCB</v>
      </c>
    </row>
    <row r="12" spans="1:12" s="30" customFormat="1" hidden="1" x14ac:dyDescent="0.25">
      <c r="A12" s="23"/>
      <c r="B12" s="32" t="s">
        <v>1522</v>
      </c>
      <c r="C12" s="23" t="s">
        <v>1523</v>
      </c>
      <c r="D12" s="23" t="s">
        <v>7</v>
      </c>
      <c r="E12" s="24" t="s">
        <v>1358</v>
      </c>
      <c r="G12" s="28"/>
      <c r="H12" s="30" t="s">
        <v>1495</v>
      </c>
      <c r="K12" s="31" t="str">
        <f t="shared" si="0"/>
        <v>Pump1</v>
      </c>
      <c r="L12" s="31" t="str">
        <f t="shared" si="2"/>
        <v>FB_Stop</v>
      </c>
    </row>
    <row r="13" spans="1:12" s="27" customFormat="1" hidden="1" x14ac:dyDescent="0.25">
      <c r="A13" s="25">
        <v>9</v>
      </c>
      <c r="B13" s="26" t="s">
        <v>22</v>
      </c>
      <c r="C13" s="25" t="s">
        <v>23</v>
      </c>
      <c r="D13" s="25" t="s">
        <v>24</v>
      </c>
      <c r="E13" s="26" t="s">
        <v>1352</v>
      </c>
      <c r="G13" s="28"/>
      <c r="H13" s="27" t="s">
        <v>1514</v>
      </c>
      <c r="K13" s="29" t="str">
        <f t="shared" si="0"/>
        <v>Pump1</v>
      </c>
      <c r="L13" s="29" t="str">
        <f t="shared" si="2"/>
        <v>FB_Temp_DEBearing</v>
      </c>
    </row>
    <row r="14" spans="1:12" s="27" customFormat="1" hidden="1" x14ac:dyDescent="0.25">
      <c r="A14" s="25">
        <v>10</v>
      </c>
      <c r="B14" s="26" t="s">
        <v>25</v>
      </c>
      <c r="C14" s="25" t="s">
        <v>26</v>
      </c>
      <c r="D14" s="25" t="s">
        <v>24</v>
      </c>
      <c r="E14" s="26" t="s">
        <v>1353</v>
      </c>
      <c r="G14" s="28"/>
      <c r="H14" s="27" t="s">
        <v>1515</v>
      </c>
      <c r="K14" s="29" t="str">
        <f t="shared" si="0"/>
        <v>Pump1</v>
      </c>
      <c r="L14" s="29" t="str">
        <f t="shared" si="2"/>
        <v>FB_Temp_NDEBearing</v>
      </c>
    </row>
    <row r="15" spans="1:12" s="27" customFormat="1" hidden="1" x14ac:dyDescent="0.25">
      <c r="A15" s="25">
        <v>11</v>
      </c>
      <c r="B15" s="26" t="s">
        <v>27</v>
      </c>
      <c r="C15" s="25" t="s">
        <v>28</v>
      </c>
      <c r="D15" s="25" t="s">
        <v>24</v>
      </c>
      <c r="E15" s="26" t="s">
        <v>1308</v>
      </c>
      <c r="G15" s="28"/>
      <c r="H15" s="27" t="s">
        <v>1511</v>
      </c>
      <c r="K15" s="29" t="str">
        <f t="shared" si="0"/>
        <v>Pump1</v>
      </c>
      <c r="L15" s="29" t="str">
        <f t="shared" si="2"/>
        <v>FB_Temp_PhaseA</v>
      </c>
    </row>
    <row r="16" spans="1:12" s="27" customFormat="1" hidden="1" x14ac:dyDescent="0.25">
      <c r="A16" s="25">
        <v>12</v>
      </c>
      <c r="B16" s="26" t="s">
        <v>29</v>
      </c>
      <c r="C16" s="25" t="s">
        <v>30</v>
      </c>
      <c r="D16" s="25" t="s">
        <v>24</v>
      </c>
      <c r="E16" s="26" t="s">
        <v>1309</v>
      </c>
      <c r="G16" s="28"/>
      <c r="H16" s="27" t="s">
        <v>1512</v>
      </c>
      <c r="K16" s="29" t="str">
        <f t="shared" si="0"/>
        <v>Pump1</v>
      </c>
      <c r="L16" s="29" t="str">
        <f t="shared" si="2"/>
        <v>FB_Temp_PhaseB</v>
      </c>
    </row>
    <row r="17" spans="1:12" s="27" customFormat="1" hidden="1" x14ac:dyDescent="0.25">
      <c r="A17" s="25">
        <v>13</v>
      </c>
      <c r="B17" s="26" t="s">
        <v>31</v>
      </c>
      <c r="C17" s="25" t="s">
        <v>32</v>
      </c>
      <c r="D17" s="25" t="s">
        <v>24</v>
      </c>
      <c r="E17" s="26" t="s">
        <v>1310</v>
      </c>
      <c r="G17" s="28"/>
      <c r="H17" s="27" t="s">
        <v>1513</v>
      </c>
      <c r="K17" s="29" t="str">
        <f t="shared" si="0"/>
        <v>Pump1</v>
      </c>
      <c r="L17" s="29" t="str">
        <f t="shared" si="2"/>
        <v>FB_Temp_PhaseC</v>
      </c>
    </row>
    <row r="18" spans="1:12" s="27" customFormat="1" hidden="1" x14ac:dyDescent="0.25">
      <c r="A18" s="25">
        <v>14</v>
      </c>
      <c r="B18" s="26" t="s">
        <v>33</v>
      </c>
      <c r="C18" s="25" t="s">
        <v>34</v>
      </c>
      <c r="D18" s="25" t="s">
        <v>35</v>
      </c>
      <c r="E18" s="26" t="s">
        <v>1315</v>
      </c>
      <c r="G18" s="28"/>
      <c r="K18" s="29" t="str">
        <f t="shared" si="0"/>
        <v>Meter1</v>
      </c>
      <c r="L18" s="29" t="str">
        <f t="shared" si="2"/>
        <v>U1</v>
      </c>
    </row>
    <row r="19" spans="1:12" s="27" customFormat="1" hidden="1" x14ac:dyDescent="0.25">
      <c r="A19" s="25">
        <v>15</v>
      </c>
      <c r="B19" s="26" t="s">
        <v>36</v>
      </c>
      <c r="C19" s="25" t="s">
        <v>37</v>
      </c>
      <c r="D19" s="25" t="s">
        <v>35</v>
      </c>
      <c r="E19" s="26" t="s">
        <v>1316</v>
      </c>
      <c r="G19" s="28"/>
      <c r="K19" s="29" t="str">
        <f t="shared" si="0"/>
        <v>Meter1</v>
      </c>
      <c r="L19" s="29" t="str">
        <f t="shared" si="2"/>
        <v>U2</v>
      </c>
    </row>
    <row r="20" spans="1:12" s="27" customFormat="1" hidden="1" x14ac:dyDescent="0.25">
      <c r="A20" s="25">
        <v>16</v>
      </c>
      <c r="B20" s="26" t="s">
        <v>38</v>
      </c>
      <c r="C20" s="25" t="s">
        <v>39</v>
      </c>
      <c r="D20" s="25" t="s">
        <v>35</v>
      </c>
      <c r="E20" s="26" t="s">
        <v>1317</v>
      </c>
      <c r="G20" s="28"/>
      <c r="K20" s="29" t="str">
        <f t="shared" si="0"/>
        <v>Meter1</v>
      </c>
      <c r="L20" s="29" t="str">
        <f t="shared" si="2"/>
        <v>U3</v>
      </c>
    </row>
    <row r="21" spans="1:12" s="27" customFormat="1" hidden="1" x14ac:dyDescent="0.25">
      <c r="A21" s="25">
        <v>17</v>
      </c>
      <c r="B21" s="26" t="s">
        <v>40</v>
      </c>
      <c r="C21" s="25" t="s">
        <v>41</v>
      </c>
      <c r="D21" s="25" t="s">
        <v>35</v>
      </c>
      <c r="E21" s="26" t="s">
        <v>1318</v>
      </c>
      <c r="G21" s="28"/>
      <c r="K21" s="29" t="str">
        <f t="shared" si="0"/>
        <v>Meter1</v>
      </c>
      <c r="L21" s="29" t="str">
        <f t="shared" si="2"/>
        <v>U_Ph</v>
      </c>
    </row>
    <row r="22" spans="1:12" s="27" customFormat="1" hidden="1" x14ac:dyDescent="0.25">
      <c r="A22" s="25">
        <v>18</v>
      </c>
      <c r="B22" s="26" t="s">
        <v>42</v>
      </c>
      <c r="C22" s="25" t="s">
        <v>43</v>
      </c>
      <c r="D22" s="25" t="s">
        <v>35</v>
      </c>
      <c r="E22" s="26" t="s">
        <v>1319</v>
      </c>
      <c r="G22" s="28"/>
      <c r="H22" s="27" t="s">
        <v>1319</v>
      </c>
      <c r="K22" s="29" t="str">
        <f t="shared" si="0"/>
        <v>Meter1</v>
      </c>
      <c r="L22" s="29" t="str">
        <f t="shared" si="2"/>
        <v>U12</v>
      </c>
    </row>
    <row r="23" spans="1:12" s="27" customFormat="1" hidden="1" x14ac:dyDescent="0.25">
      <c r="A23" s="25">
        <v>19</v>
      </c>
      <c r="B23" s="26" t="s">
        <v>44</v>
      </c>
      <c r="C23" s="25" t="s">
        <v>45</v>
      </c>
      <c r="D23" s="25" t="s">
        <v>35</v>
      </c>
      <c r="E23" s="26" t="s">
        <v>1320</v>
      </c>
      <c r="G23" s="28"/>
      <c r="H23" s="27" t="s">
        <v>1320</v>
      </c>
      <c r="K23" s="29" t="str">
        <f t="shared" si="0"/>
        <v>Meter1</v>
      </c>
      <c r="L23" s="29" t="str">
        <f t="shared" si="2"/>
        <v>U23</v>
      </c>
    </row>
    <row r="24" spans="1:12" s="27" customFormat="1" hidden="1" x14ac:dyDescent="0.25">
      <c r="A24" s="25">
        <v>20</v>
      </c>
      <c r="B24" s="26" t="s">
        <v>46</v>
      </c>
      <c r="C24" s="25" t="s">
        <v>47</v>
      </c>
      <c r="D24" s="25" t="s">
        <v>35</v>
      </c>
      <c r="E24" s="26" t="s">
        <v>1321</v>
      </c>
      <c r="G24" s="28"/>
      <c r="H24" s="27" t="s">
        <v>1516</v>
      </c>
      <c r="K24" s="29" t="str">
        <f t="shared" si="0"/>
        <v>Meter1</v>
      </c>
      <c r="L24" s="29" t="str">
        <f t="shared" si="2"/>
        <v>U31</v>
      </c>
    </row>
    <row r="25" spans="1:12" s="27" customFormat="1" hidden="1" x14ac:dyDescent="0.25">
      <c r="A25" s="25">
        <v>21</v>
      </c>
      <c r="B25" s="26" t="s">
        <v>48</v>
      </c>
      <c r="C25" s="25" t="s">
        <v>49</v>
      </c>
      <c r="D25" s="25" t="s">
        <v>35</v>
      </c>
      <c r="E25" s="26" t="s">
        <v>1322</v>
      </c>
      <c r="G25" s="28"/>
      <c r="K25" s="29" t="str">
        <f t="shared" si="0"/>
        <v>Meter1</v>
      </c>
      <c r="L25" s="29" t="str">
        <f t="shared" si="2"/>
        <v>Uline</v>
      </c>
    </row>
    <row r="26" spans="1:12" s="27" customFormat="1" hidden="1" x14ac:dyDescent="0.25">
      <c r="A26" s="25">
        <v>22</v>
      </c>
      <c r="B26" s="26" t="s">
        <v>50</v>
      </c>
      <c r="C26" s="25" t="s">
        <v>51</v>
      </c>
      <c r="D26" s="25" t="s">
        <v>35</v>
      </c>
      <c r="E26" s="26" t="s">
        <v>1312</v>
      </c>
      <c r="G26" s="28"/>
      <c r="H26" s="29"/>
      <c r="K26" s="29" t="str">
        <f t="shared" si="0"/>
        <v>Meter1</v>
      </c>
      <c r="L26" s="29" t="str">
        <f t="shared" si="2"/>
        <v>I1</v>
      </c>
    </row>
    <row r="27" spans="1:12" s="27" customFormat="1" hidden="1" x14ac:dyDescent="0.25">
      <c r="A27" s="25">
        <v>23</v>
      </c>
      <c r="B27" s="26" t="s">
        <v>52</v>
      </c>
      <c r="C27" s="25" t="s">
        <v>53</v>
      </c>
      <c r="D27" s="25" t="s">
        <v>35</v>
      </c>
      <c r="E27" s="26" t="s">
        <v>1313</v>
      </c>
      <c r="G27" s="28"/>
      <c r="H27" s="29"/>
      <c r="K27" s="29" t="str">
        <f t="shared" si="0"/>
        <v>Meter1</v>
      </c>
      <c r="L27" s="29" t="str">
        <f t="shared" si="2"/>
        <v>I2</v>
      </c>
    </row>
    <row r="28" spans="1:12" s="27" customFormat="1" hidden="1" x14ac:dyDescent="0.25">
      <c r="A28" s="25">
        <v>24</v>
      </c>
      <c r="B28" s="26" t="s">
        <v>54</v>
      </c>
      <c r="C28" s="25" t="s">
        <v>55</v>
      </c>
      <c r="D28" s="25" t="s">
        <v>35</v>
      </c>
      <c r="E28" s="26" t="s">
        <v>1314</v>
      </c>
      <c r="G28" s="28"/>
      <c r="H28" s="29"/>
      <c r="K28" s="29" t="str">
        <f t="shared" si="0"/>
        <v>Meter1</v>
      </c>
      <c r="L28" s="29" t="str">
        <f t="shared" si="2"/>
        <v>I3</v>
      </c>
    </row>
    <row r="29" spans="1:12" s="27" customFormat="1" hidden="1" x14ac:dyDescent="0.25">
      <c r="A29" s="25">
        <v>25</v>
      </c>
      <c r="B29" s="26" t="s">
        <v>56</v>
      </c>
      <c r="C29" s="25" t="s">
        <v>57</v>
      </c>
      <c r="D29" s="25" t="s">
        <v>35</v>
      </c>
      <c r="E29" s="26" t="s">
        <v>1311</v>
      </c>
      <c r="G29" s="28"/>
      <c r="H29" s="26" t="s">
        <v>1311</v>
      </c>
      <c r="K29" s="29" t="str">
        <f t="shared" si="0"/>
        <v>Meter1</v>
      </c>
      <c r="L29" s="29" t="str">
        <f t="shared" si="2"/>
        <v>I_ph</v>
      </c>
    </row>
    <row r="30" spans="1:12" s="27" customFormat="1" hidden="1" x14ac:dyDescent="0.25">
      <c r="A30" s="25">
        <v>26</v>
      </c>
      <c r="B30" s="26" t="s">
        <v>58</v>
      </c>
      <c r="C30" s="25" t="s">
        <v>59</v>
      </c>
      <c r="D30" s="25" t="s">
        <v>35</v>
      </c>
      <c r="E30" s="26" t="s">
        <v>1323</v>
      </c>
      <c r="G30" s="28"/>
      <c r="K30" s="29" t="str">
        <f t="shared" si="0"/>
        <v>Meter1</v>
      </c>
      <c r="L30" s="29" t="str">
        <f t="shared" si="2"/>
        <v>kw1</v>
      </c>
    </row>
    <row r="31" spans="1:12" s="27" customFormat="1" hidden="1" x14ac:dyDescent="0.25">
      <c r="A31" s="25">
        <v>27</v>
      </c>
      <c r="B31" s="26" t="s">
        <v>60</v>
      </c>
      <c r="C31" s="25" t="s">
        <v>61</v>
      </c>
      <c r="D31" s="25" t="s">
        <v>35</v>
      </c>
      <c r="E31" s="26" t="s">
        <v>1324</v>
      </c>
      <c r="G31" s="28"/>
      <c r="K31" s="29" t="str">
        <f t="shared" si="0"/>
        <v>Meter1</v>
      </c>
      <c r="L31" s="29" t="str">
        <f t="shared" si="2"/>
        <v>kw2</v>
      </c>
    </row>
    <row r="32" spans="1:12" s="27" customFormat="1" hidden="1" x14ac:dyDescent="0.25">
      <c r="A32" s="25">
        <v>28</v>
      </c>
      <c r="B32" s="26" t="s">
        <v>62</v>
      </c>
      <c r="C32" s="25" t="s">
        <v>63</v>
      </c>
      <c r="D32" s="25" t="s">
        <v>35</v>
      </c>
      <c r="E32" s="26" t="s">
        <v>1325</v>
      </c>
      <c r="G32" s="28"/>
      <c r="K32" s="29" t="str">
        <f t="shared" si="0"/>
        <v>Meter1</v>
      </c>
      <c r="L32" s="29" t="str">
        <f t="shared" si="2"/>
        <v>kw3</v>
      </c>
    </row>
    <row r="33" spans="1:12" s="27" customFormat="1" hidden="1" x14ac:dyDescent="0.25">
      <c r="A33" s="25">
        <v>29</v>
      </c>
      <c r="B33" s="26" t="s">
        <v>64</v>
      </c>
      <c r="C33" s="25" t="s">
        <v>65</v>
      </c>
      <c r="D33" s="25" t="s">
        <v>35</v>
      </c>
      <c r="E33" s="26" t="s">
        <v>1326</v>
      </c>
      <c r="G33" s="28"/>
      <c r="K33" s="29" t="str">
        <f t="shared" si="0"/>
        <v>Meter1</v>
      </c>
      <c r="L33" s="29" t="str">
        <f t="shared" si="2"/>
        <v>kva1</v>
      </c>
    </row>
    <row r="34" spans="1:12" s="27" customFormat="1" hidden="1" x14ac:dyDescent="0.25">
      <c r="A34" s="25">
        <v>30</v>
      </c>
      <c r="B34" s="26" t="s">
        <v>66</v>
      </c>
      <c r="C34" s="25" t="s">
        <v>67</v>
      </c>
      <c r="D34" s="25" t="s">
        <v>35</v>
      </c>
      <c r="E34" s="26" t="s">
        <v>1327</v>
      </c>
      <c r="G34" s="28"/>
      <c r="K34" s="29" t="str">
        <f t="shared" si="0"/>
        <v>Meter1</v>
      </c>
      <c r="L34" s="29" t="str">
        <f t="shared" si="2"/>
        <v>kva2</v>
      </c>
    </row>
    <row r="35" spans="1:12" s="27" customFormat="1" hidden="1" x14ac:dyDescent="0.25">
      <c r="A35" s="25">
        <v>31</v>
      </c>
      <c r="B35" s="26" t="s">
        <v>68</v>
      </c>
      <c r="C35" s="25" t="s">
        <v>69</v>
      </c>
      <c r="D35" s="25" t="s">
        <v>35</v>
      </c>
      <c r="E35" s="26" t="s">
        <v>1328</v>
      </c>
      <c r="G35" s="28"/>
      <c r="K35" s="29" t="str">
        <f t="shared" si="0"/>
        <v>Meter1</v>
      </c>
      <c r="L35" s="29" t="str">
        <f t="shared" si="2"/>
        <v>kva3</v>
      </c>
    </row>
    <row r="36" spans="1:12" s="27" customFormat="1" hidden="1" x14ac:dyDescent="0.25">
      <c r="A36" s="25">
        <v>32</v>
      </c>
      <c r="B36" s="26" t="s">
        <v>70</v>
      </c>
      <c r="C36" s="25" t="s">
        <v>71</v>
      </c>
      <c r="D36" s="25" t="s">
        <v>35</v>
      </c>
      <c r="E36" s="26" t="s">
        <v>1329</v>
      </c>
      <c r="G36" s="28"/>
      <c r="K36" s="29" t="str">
        <f t="shared" si="0"/>
        <v>Meter1</v>
      </c>
      <c r="L36" s="29" t="str">
        <f t="shared" si="2"/>
        <v>kvar1</v>
      </c>
    </row>
    <row r="37" spans="1:12" s="27" customFormat="1" hidden="1" x14ac:dyDescent="0.25">
      <c r="A37" s="25">
        <v>33</v>
      </c>
      <c r="B37" s="26" t="s">
        <v>72</v>
      </c>
      <c r="C37" s="25" t="s">
        <v>73</v>
      </c>
      <c r="D37" s="25" t="s">
        <v>35</v>
      </c>
      <c r="E37" s="26" t="s">
        <v>1330</v>
      </c>
      <c r="G37" s="28"/>
      <c r="K37" s="29" t="str">
        <f t="shared" si="0"/>
        <v>Meter1</v>
      </c>
      <c r="L37" s="29" t="str">
        <f t="shared" si="2"/>
        <v>kvar2</v>
      </c>
    </row>
    <row r="38" spans="1:12" s="27" customFormat="1" hidden="1" x14ac:dyDescent="0.25">
      <c r="A38" s="25">
        <v>34</v>
      </c>
      <c r="B38" s="26" t="s">
        <v>74</v>
      </c>
      <c r="C38" s="25" t="s">
        <v>75</v>
      </c>
      <c r="D38" s="25" t="s">
        <v>35</v>
      </c>
      <c r="E38" s="26" t="s">
        <v>1331</v>
      </c>
      <c r="G38" s="28"/>
      <c r="K38" s="29" t="str">
        <f t="shared" si="0"/>
        <v>Meter1</v>
      </c>
      <c r="L38" s="29" t="str">
        <f t="shared" si="2"/>
        <v>kvar3</v>
      </c>
    </row>
    <row r="39" spans="1:12" s="27" customFormat="1" hidden="1" x14ac:dyDescent="0.25">
      <c r="A39" s="25">
        <v>35</v>
      </c>
      <c r="B39" s="26" t="s">
        <v>76</v>
      </c>
      <c r="C39" s="25" t="s">
        <v>77</v>
      </c>
      <c r="D39" s="25" t="s">
        <v>35</v>
      </c>
      <c r="E39" s="26" t="s">
        <v>1332</v>
      </c>
      <c r="G39" s="28"/>
      <c r="H39" s="27" t="s">
        <v>1482</v>
      </c>
      <c r="K39" s="29" t="str">
        <f t="shared" si="0"/>
        <v>Meter1</v>
      </c>
      <c r="L39" s="29" t="str">
        <f t="shared" si="2"/>
        <v>total_kw</v>
      </c>
    </row>
    <row r="40" spans="1:12" s="27" customFormat="1" hidden="1" x14ac:dyDescent="0.25">
      <c r="A40" s="25">
        <v>36</v>
      </c>
      <c r="B40" s="26" t="s">
        <v>78</v>
      </c>
      <c r="C40" s="25" t="s">
        <v>79</v>
      </c>
      <c r="D40" s="25" t="s">
        <v>35</v>
      </c>
      <c r="E40" s="26" t="s">
        <v>1333</v>
      </c>
      <c r="G40" s="28"/>
      <c r="K40" s="29" t="str">
        <f t="shared" si="0"/>
        <v>Meter1</v>
      </c>
      <c r="L40" s="29" t="str">
        <f t="shared" si="2"/>
        <v>total_kva</v>
      </c>
    </row>
    <row r="41" spans="1:12" s="27" customFormat="1" hidden="1" x14ac:dyDescent="0.25">
      <c r="A41" s="25">
        <v>37</v>
      </c>
      <c r="B41" s="26" t="s">
        <v>80</v>
      </c>
      <c r="C41" s="25" t="s">
        <v>81</v>
      </c>
      <c r="D41" s="25" t="s">
        <v>35</v>
      </c>
      <c r="E41" s="26" t="s">
        <v>1334</v>
      </c>
      <c r="G41" s="28"/>
      <c r="K41" s="29" t="str">
        <f t="shared" si="0"/>
        <v>Meter1</v>
      </c>
      <c r="L41" s="29" t="str">
        <f t="shared" si="2"/>
        <v>total_kvar</v>
      </c>
    </row>
    <row r="42" spans="1:12" s="27" customFormat="1" hidden="1" x14ac:dyDescent="0.25">
      <c r="A42" s="25">
        <v>38</v>
      </c>
      <c r="B42" s="26" t="s">
        <v>82</v>
      </c>
      <c r="C42" s="25" t="s">
        <v>83</v>
      </c>
      <c r="D42" s="25" t="s">
        <v>35</v>
      </c>
      <c r="E42" s="26" t="s">
        <v>1335</v>
      </c>
      <c r="G42" s="28"/>
      <c r="K42" s="29" t="str">
        <f t="shared" si="0"/>
        <v>Meter1</v>
      </c>
      <c r="L42" s="29" t="str">
        <f t="shared" si="2"/>
        <v>PF1</v>
      </c>
    </row>
    <row r="43" spans="1:12" s="27" customFormat="1" hidden="1" x14ac:dyDescent="0.25">
      <c r="A43" s="25">
        <v>39</v>
      </c>
      <c r="B43" s="26" t="s">
        <v>84</v>
      </c>
      <c r="C43" s="25" t="s">
        <v>85</v>
      </c>
      <c r="D43" s="25" t="s">
        <v>35</v>
      </c>
      <c r="E43" s="26" t="s">
        <v>1336</v>
      </c>
      <c r="G43" s="28"/>
      <c r="K43" s="29" t="str">
        <f t="shared" si="0"/>
        <v>Meter1</v>
      </c>
      <c r="L43" s="29" t="str">
        <f t="shared" si="2"/>
        <v>PF2</v>
      </c>
    </row>
    <row r="44" spans="1:12" s="27" customFormat="1" hidden="1" x14ac:dyDescent="0.25">
      <c r="A44" s="25">
        <v>40</v>
      </c>
      <c r="B44" s="26" t="s">
        <v>86</v>
      </c>
      <c r="C44" s="25" t="s">
        <v>87</v>
      </c>
      <c r="D44" s="25" t="s">
        <v>35</v>
      </c>
      <c r="E44" s="26" t="s">
        <v>1337</v>
      </c>
      <c r="G44" s="28"/>
      <c r="K44" s="29" t="str">
        <f t="shared" si="0"/>
        <v>Meter1</v>
      </c>
      <c r="L44" s="29" t="str">
        <f t="shared" si="2"/>
        <v>PF3</v>
      </c>
    </row>
    <row r="45" spans="1:12" s="27" customFormat="1" hidden="1" x14ac:dyDescent="0.25">
      <c r="A45" s="25">
        <v>41</v>
      </c>
      <c r="B45" s="26" t="s">
        <v>88</v>
      </c>
      <c r="C45" s="25" t="s">
        <v>89</v>
      </c>
      <c r="D45" s="25" t="s">
        <v>35</v>
      </c>
      <c r="E45" s="26" t="s">
        <v>1338</v>
      </c>
      <c r="G45" s="28"/>
      <c r="H45" s="27" t="s">
        <v>1405</v>
      </c>
      <c r="K45" s="29" t="str">
        <f t="shared" si="0"/>
        <v>Meter1</v>
      </c>
      <c r="L45" s="29" t="str">
        <f t="shared" si="2"/>
        <v>PF</v>
      </c>
    </row>
    <row r="46" spans="1:12" s="27" customFormat="1" hidden="1" x14ac:dyDescent="0.25">
      <c r="A46" s="25">
        <v>42</v>
      </c>
      <c r="B46" s="26" t="s">
        <v>90</v>
      </c>
      <c r="C46" s="25" t="s">
        <v>91</v>
      </c>
      <c r="D46" s="25" t="s">
        <v>35</v>
      </c>
      <c r="E46" s="26" t="s">
        <v>1339</v>
      </c>
      <c r="G46" s="28"/>
      <c r="H46" s="27" t="s">
        <v>1339</v>
      </c>
      <c r="K46" s="29" t="str">
        <f t="shared" si="0"/>
        <v>Meter1</v>
      </c>
      <c r="L46" s="29" t="str">
        <f t="shared" si="2"/>
        <v>freq</v>
      </c>
    </row>
    <row r="47" spans="1:12" s="27" customFormat="1" hidden="1" x14ac:dyDescent="0.25">
      <c r="A47" s="25">
        <v>43</v>
      </c>
      <c r="B47" s="26" t="s">
        <v>92</v>
      </c>
      <c r="C47" s="25" t="s">
        <v>93</v>
      </c>
      <c r="D47" s="25" t="s">
        <v>35</v>
      </c>
      <c r="E47" s="26" t="s">
        <v>1340</v>
      </c>
      <c r="G47" s="28"/>
      <c r="H47" s="27" t="s">
        <v>1340</v>
      </c>
      <c r="K47" s="29" t="str">
        <f t="shared" si="0"/>
        <v>Meter1</v>
      </c>
      <c r="L47" s="29" t="str">
        <f t="shared" si="2"/>
        <v>kwh</v>
      </c>
    </row>
    <row r="48" spans="1:12" s="27" customFormat="1" hidden="1" x14ac:dyDescent="0.25">
      <c r="A48" s="25">
        <v>44</v>
      </c>
      <c r="B48" s="26" t="s">
        <v>94</v>
      </c>
      <c r="C48" s="25" t="s">
        <v>95</v>
      </c>
      <c r="D48" s="25" t="s">
        <v>35</v>
      </c>
      <c r="E48" s="26" t="s">
        <v>1341</v>
      </c>
      <c r="G48" s="28"/>
      <c r="K48" s="29" t="str">
        <f t="shared" si="0"/>
        <v>Meter1</v>
      </c>
      <c r="L48" s="29" t="str">
        <f t="shared" si="2"/>
        <v>kvah</v>
      </c>
    </row>
    <row r="49" spans="1:12" s="27" customFormat="1" hidden="1" x14ac:dyDescent="0.25">
      <c r="A49" s="25">
        <v>45</v>
      </c>
      <c r="B49" s="26" t="s">
        <v>96</v>
      </c>
      <c r="C49" s="25" t="s">
        <v>97</v>
      </c>
      <c r="D49" s="25" t="s">
        <v>35</v>
      </c>
      <c r="E49" s="26" t="s">
        <v>1342</v>
      </c>
      <c r="G49" s="28"/>
      <c r="K49" s="29" t="str">
        <f t="shared" si="0"/>
        <v>Meter1</v>
      </c>
      <c r="L49" s="29" t="str">
        <f t="shared" si="2"/>
        <v>kvarh</v>
      </c>
    </row>
    <row r="50" spans="1:12" s="27" customFormat="1" hidden="1" x14ac:dyDescent="0.25">
      <c r="A50" s="25">
        <v>46</v>
      </c>
      <c r="B50" s="26" t="s">
        <v>98</v>
      </c>
      <c r="C50" s="25" t="s">
        <v>99</v>
      </c>
      <c r="D50" s="25" t="s">
        <v>7</v>
      </c>
      <c r="E50" s="26" t="s">
        <v>1343</v>
      </c>
      <c r="G50" s="28"/>
      <c r="K50" s="29" t="str">
        <f t="shared" si="0"/>
        <v>Pump1</v>
      </c>
      <c r="L50" s="29" t="str">
        <f t="shared" si="2"/>
        <v>Ctrl_run_Pump</v>
      </c>
    </row>
    <row r="51" spans="1:12" s="27" customFormat="1" hidden="1" x14ac:dyDescent="0.25">
      <c r="A51" s="25">
        <v>47</v>
      </c>
      <c r="B51" s="26" t="s">
        <v>100</v>
      </c>
      <c r="C51" s="25" t="s">
        <v>101</v>
      </c>
      <c r="D51" s="25" t="s">
        <v>7</v>
      </c>
      <c r="E51" s="26" t="s">
        <v>1354</v>
      </c>
      <c r="G51" s="28"/>
      <c r="H51" s="27" t="s">
        <v>1496</v>
      </c>
      <c r="K51" s="29" t="str">
        <f t="shared" si="0"/>
        <v>Pump1</v>
      </c>
      <c r="L51" s="29" t="str">
        <f t="shared" si="2"/>
        <v>FB_Fault</v>
      </c>
    </row>
    <row r="52" spans="1:12" s="27" customFormat="1" hidden="1" x14ac:dyDescent="0.25">
      <c r="A52" s="25">
        <v>48</v>
      </c>
      <c r="B52" s="26" t="s">
        <v>102</v>
      </c>
      <c r="C52" s="25" t="s">
        <v>103</v>
      </c>
      <c r="D52" s="25" t="s">
        <v>7</v>
      </c>
      <c r="E52" s="26" t="s">
        <v>1344</v>
      </c>
      <c r="G52" s="28"/>
      <c r="K52" s="29" t="str">
        <f t="shared" si="0"/>
        <v>Pump1</v>
      </c>
      <c r="L52" s="29" t="str">
        <f t="shared" si="2"/>
        <v>Ctrl_PB_Run</v>
      </c>
    </row>
    <row r="53" spans="1:12" s="27" customFormat="1" hidden="1" x14ac:dyDescent="0.25">
      <c r="A53" s="25">
        <v>49</v>
      </c>
      <c r="B53" s="26" t="s">
        <v>104</v>
      </c>
      <c r="C53" s="25" t="s">
        <v>105</v>
      </c>
      <c r="D53" s="25" t="s">
        <v>7</v>
      </c>
      <c r="E53" s="26" t="s">
        <v>1345</v>
      </c>
      <c r="G53" s="28"/>
      <c r="K53" s="29" t="str">
        <f t="shared" si="0"/>
        <v>Pump1</v>
      </c>
      <c r="L53" s="29" t="str">
        <f t="shared" si="2"/>
        <v>Ctrl_PB_Stop</v>
      </c>
    </row>
    <row r="54" spans="1:12" s="27" customFormat="1" hidden="1" x14ac:dyDescent="0.25">
      <c r="A54" s="25">
        <v>50</v>
      </c>
      <c r="B54" s="26" t="s">
        <v>106</v>
      </c>
      <c r="C54" s="25" t="s">
        <v>107</v>
      </c>
      <c r="D54" s="25" t="s">
        <v>7</v>
      </c>
      <c r="E54" s="26" t="s">
        <v>1346</v>
      </c>
      <c r="G54" s="28"/>
      <c r="K54" s="29" t="str">
        <f t="shared" si="0"/>
        <v>Pump1</v>
      </c>
      <c r="L54" s="29" t="str">
        <f t="shared" si="2"/>
        <v>Ctrl_PB_RST</v>
      </c>
    </row>
    <row r="55" spans="1:12" s="30" customFormat="1" hidden="1" x14ac:dyDescent="0.25">
      <c r="A55" s="23">
        <v>50</v>
      </c>
      <c r="B55" s="24" t="s">
        <v>1557</v>
      </c>
      <c r="C55" s="23" t="s">
        <v>1561</v>
      </c>
      <c r="D55" s="23" t="s">
        <v>7</v>
      </c>
      <c r="E55" s="24" t="s">
        <v>1558</v>
      </c>
      <c r="G55" s="28"/>
      <c r="K55" s="31" t="str">
        <f t="shared" ref="K55" si="3">LEFT(B55, SEARCH("_",B55 ) - 1)</f>
        <v>Pump1</v>
      </c>
      <c r="L55" s="31" t="str">
        <f t="shared" ref="L55" si="4">RIGHT(B55, LEN(B55)-SEARCH("_",B55 ))</f>
        <v>Ctrl_PB_Maintenance</v>
      </c>
    </row>
    <row r="56" spans="1:12" s="30" customFormat="1" hidden="1" x14ac:dyDescent="0.25">
      <c r="A56" s="23">
        <v>50</v>
      </c>
      <c r="B56" s="24" t="s">
        <v>1560</v>
      </c>
      <c r="C56" s="23" t="s">
        <v>1562</v>
      </c>
      <c r="D56" s="23" t="s">
        <v>7</v>
      </c>
      <c r="E56" s="24" t="s">
        <v>1559</v>
      </c>
      <c r="G56" s="28"/>
      <c r="H56" s="30" t="s">
        <v>1563</v>
      </c>
      <c r="K56" s="31" t="str">
        <f t="shared" ref="K56" si="5">LEFT(B56, SEARCH("_",B56 ) - 1)</f>
        <v>Pump1</v>
      </c>
      <c r="L56" s="31" t="str">
        <f t="shared" ref="L56" si="6">RIGHT(B56, LEN(B56)-SEARCH("_",B56 ))</f>
        <v>FB_Maintenance</v>
      </c>
    </row>
    <row r="57" spans="1:12" s="27" customFormat="1" hidden="1" x14ac:dyDescent="0.25">
      <c r="A57" s="25">
        <v>51</v>
      </c>
      <c r="B57" s="26" t="s">
        <v>108</v>
      </c>
      <c r="C57" s="25" t="s">
        <v>109</v>
      </c>
      <c r="D57" s="25" t="s">
        <v>24</v>
      </c>
      <c r="E57" s="26" t="s">
        <v>1347</v>
      </c>
      <c r="G57" s="28"/>
      <c r="H57" s="27" t="s">
        <v>1518</v>
      </c>
      <c r="K57" s="29" t="str">
        <f t="shared" si="0"/>
        <v>Pump1</v>
      </c>
      <c r="L57" s="29" t="str">
        <f t="shared" si="2"/>
        <v>Time_Run_M</v>
      </c>
    </row>
    <row r="58" spans="1:12" s="27" customFormat="1" hidden="1" x14ac:dyDescent="0.25">
      <c r="A58" s="25">
        <v>52</v>
      </c>
      <c r="B58" s="26" t="s">
        <v>110</v>
      </c>
      <c r="C58" s="25" t="s">
        <v>111</v>
      </c>
      <c r="D58" s="25" t="s">
        <v>24</v>
      </c>
      <c r="E58" s="26" t="s">
        <v>1348</v>
      </c>
      <c r="G58" s="28"/>
      <c r="H58" s="27" t="s">
        <v>1518</v>
      </c>
      <c r="K58" s="29" t="str">
        <f t="shared" si="0"/>
        <v>Pump1</v>
      </c>
      <c r="L58" s="29" t="str">
        <f t="shared" si="2"/>
        <v>Time_Run_H</v>
      </c>
    </row>
    <row r="59" spans="1:12" s="27" customFormat="1" hidden="1" x14ac:dyDescent="0.25">
      <c r="A59" s="25">
        <v>53</v>
      </c>
      <c r="B59" s="26" t="s">
        <v>112</v>
      </c>
      <c r="C59" s="25" t="s">
        <v>113</v>
      </c>
      <c r="D59" s="25" t="s">
        <v>24</v>
      </c>
      <c r="E59" s="26" t="s">
        <v>1349</v>
      </c>
      <c r="G59" s="28"/>
      <c r="H59" s="27" t="s">
        <v>1517</v>
      </c>
      <c r="K59" s="29" t="str">
        <f t="shared" si="0"/>
        <v>Pump1</v>
      </c>
      <c r="L59" s="29" t="str">
        <f t="shared" si="2"/>
        <v>Total_Time_Run_M</v>
      </c>
    </row>
    <row r="60" spans="1:12" s="27" customFormat="1" hidden="1" x14ac:dyDescent="0.25">
      <c r="A60" s="25">
        <v>54</v>
      </c>
      <c r="B60" s="26" t="s">
        <v>114</v>
      </c>
      <c r="C60" s="25" t="s">
        <v>115</v>
      </c>
      <c r="D60" s="25" t="s">
        <v>24</v>
      </c>
      <c r="E60" s="26" t="s">
        <v>1350</v>
      </c>
      <c r="G60" s="28"/>
      <c r="H60" s="27" t="s">
        <v>1517</v>
      </c>
      <c r="K60" s="29" t="str">
        <f t="shared" si="0"/>
        <v>Pump1</v>
      </c>
      <c r="L60" s="29" t="str">
        <f t="shared" si="2"/>
        <v>Total_Time_Run_H</v>
      </c>
    </row>
    <row r="61" spans="1:12" s="27" customFormat="1" hidden="1" x14ac:dyDescent="0.25">
      <c r="A61" s="25">
        <v>55</v>
      </c>
      <c r="B61" s="26" t="s">
        <v>116</v>
      </c>
      <c r="C61" s="25" t="s">
        <v>117</v>
      </c>
      <c r="D61" s="25" t="s">
        <v>24</v>
      </c>
      <c r="E61" s="26" t="s">
        <v>1351</v>
      </c>
      <c r="G61" s="28"/>
      <c r="K61" s="29" t="str">
        <f t="shared" si="0"/>
        <v>Pump1</v>
      </c>
      <c r="L61" s="29" t="str">
        <f t="shared" si="2"/>
        <v>NumberOfclose</v>
      </c>
    </row>
    <row r="62" spans="1:12" s="27" customFormat="1" hidden="1" x14ac:dyDescent="0.25">
      <c r="A62" s="25">
        <v>56</v>
      </c>
      <c r="B62" s="26" t="s">
        <v>118</v>
      </c>
      <c r="C62" s="25" t="s">
        <v>119</v>
      </c>
      <c r="D62" s="25" t="s">
        <v>7</v>
      </c>
      <c r="E62" s="26" t="s">
        <v>1355</v>
      </c>
      <c r="G62" s="28" t="s">
        <v>1490</v>
      </c>
      <c r="K62" s="29" t="str">
        <f t="shared" si="0"/>
        <v>Pump2</v>
      </c>
      <c r="L62" s="29" t="str">
        <f t="shared" si="2"/>
        <v>FB_auto</v>
      </c>
    </row>
    <row r="63" spans="1:12" s="27" customFormat="1" hidden="1" x14ac:dyDescent="0.25">
      <c r="A63" s="25">
        <v>57</v>
      </c>
      <c r="B63" s="26" t="s">
        <v>120</v>
      </c>
      <c r="C63" s="25" t="s">
        <v>121</v>
      </c>
      <c r="D63" s="25" t="s">
        <v>7</v>
      </c>
      <c r="E63" s="26" t="s">
        <v>1306</v>
      </c>
      <c r="G63" s="28"/>
      <c r="H63" s="27" t="s">
        <v>1505</v>
      </c>
      <c r="K63" s="29" t="str">
        <f t="shared" si="0"/>
        <v>Pump2</v>
      </c>
      <c r="L63" s="29" t="str">
        <f t="shared" si="2"/>
        <v>FB_Run</v>
      </c>
    </row>
    <row r="64" spans="1:12" s="27" customFormat="1" hidden="1" x14ac:dyDescent="0.25">
      <c r="A64" s="25">
        <v>58</v>
      </c>
      <c r="B64" s="26" t="s">
        <v>122</v>
      </c>
      <c r="C64" s="25" t="s">
        <v>123</v>
      </c>
      <c r="D64" s="25" t="s">
        <v>7</v>
      </c>
      <c r="E64" s="26" t="s">
        <v>1307</v>
      </c>
      <c r="G64" s="28"/>
      <c r="K64" s="29" t="str">
        <f t="shared" si="0"/>
        <v>Pump2</v>
      </c>
      <c r="L64" s="29" t="str">
        <f t="shared" si="2"/>
        <v>FB_Fault_V</v>
      </c>
    </row>
    <row r="65" spans="1:12" s="27" customFormat="1" hidden="1" x14ac:dyDescent="0.25">
      <c r="A65" s="25">
        <v>59</v>
      </c>
      <c r="B65" s="26" t="s">
        <v>124</v>
      </c>
      <c r="C65" s="25" t="s">
        <v>125</v>
      </c>
      <c r="D65" s="25" t="s">
        <v>7</v>
      </c>
      <c r="E65" s="26" t="s">
        <v>1307</v>
      </c>
      <c r="G65" s="28"/>
      <c r="K65" s="29" t="str">
        <f t="shared" si="0"/>
        <v>Pump2</v>
      </c>
      <c r="L65" s="29" t="str">
        <f t="shared" si="2"/>
        <v>FB_Fault_SS</v>
      </c>
    </row>
    <row r="66" spans="1:12" s="27" customFormat="1" hidden="1" x14ac:dyDescent="0.25">
      <c r="A66" s="25">
        <v>60</v>
      </c>
      <c r="B66" s="26" t="s">
        <v>126</v>
      </c>
      <c r="C66" s="25" t="s">
        <v>127</v>
      </c>
      <c r="D66" s="25" t="s">
        <v>7</v>
      </c>
      <c r="E66" s="26" t="s">
        <v>1356</v>
      </c>
      <c r="G66" s="28"/>
      <c r="K66" s="29" t="str">
        <f t="shared" si="0"/>
        <v>Pump2</v>
      </c>
      <c r="L66" s="29" t="str">
        <f t="shared" si="2"/>
        <v>FB_Fault_Temp</v>
      </c>
    </row>
    <row r="67" spans="1:12" s="27" customFormat="1" hidden="1" x14ac:dyDescent="0.25">
      <c r="A67" s="25">
        <v>61</v>
      </c>
      <c r="B67" s="26" t="s">
        <v>128</v>
      </c>
      <c r="C67" s="25" t="s">
        <v>129</v>
      </c>
      <c r="D67" s="25" t="s">
        <v>7</v>
      </c>
      <c r="E67" s="26" t="s">
        <v>1307</v>
      </c>
      <c r="G67" s="28"/>
      <c r="K67" s="29" t="str">
        <f t="shared" si="0"/>
        <v>Pump2</v>
      </c>
      <c r="L67" s="29" t="str">
        <f t="shared" si="2"/>
        <v>FB_Fault_Curent</v>
      </c>
    </row>
    <row r="68" spans="1:12" s="27" customFormat="1" hidden="1" x14ac:dyDescent="0.25">
      <c r="A68" s="25">
        <v>62</v>
      </c>
      <c r="B68" s="26" t="s">
        <v>130</v>
      </c>
      <c r="C68" s="25" t="s">
        <v>131</v>
      </c>
      <c r="D68" s="25" t="s">
        <v>7</v>
      </c>
      <c r="E68" s="26" t="s">
        <v>1357</v>
      </c>
      <c r="G68" s="28"/>
      <c r="K68" s="29" t="str">
        <f t="shared" si="0"/>
        <v>Pump2</v>
      </c>
      <c r="L68" s="29" t="str">
        <f t="shared" si="2"/>
        <v>Clock_1m</v>
      </c>
    </row>
    <row r="69" spans="1:12" s="30" customFormat="1" x14ac:dyDescent="0.25">
      <c r="A69" s="23">
        <v>63</v>
      </c>
      <c r="B69" s="24" t="s">
        <v>132</v>
      </c>
      <c r="C69" s="23" t="s">
        <v>133</v>
      </c>
      <c r="D69" s="23" t="s">
        <v>7</v>
      </c>
      <c r="E69" s="24" t="s">
        <v>1358</v>
      </c>
      <c r="G69" s="28"/>
      <c r="H69" s="17" t="s">
        <v>1524</v>
      </c>
      <c r="K69" s="31" t="str">
        <f t="shared" si="0"/>
        <v>Pump2</v>
      </c>
      <c r="L69" s="31" t="str">
        <f t="shared" si="2"/>
        <v>FB_stop</v>
      </c>
    </row>
    <row r="70" spans="1:12" s="30" customFormat="1" hidden="1" x14ac:dyDescent="0.25">
      <c r="A70" s="23">
        <v>8</v>
      </c>
      <c r="B70" s="32" t="s">
        <v>1434</v>
      </c>
      <c r="C70" s="23" t="s">
        <v>1533</v>
      </c>
      <c r="D70" s="23" t="s">
        <v>7</v>
      </c>
      <c r="E70" s="24" t="s">
        <v>1393</v>
      </c>
      <c r="G70" s="28"/>
      <c r="H70" s="30" t="s">
        <v>1495</v>
      </c>
      <c r="K70" s="31" t="str">
        <f t="shared" si="0"/>
        <v>Pump2</v>
      </c>
      <c r="L70" s="31" t="str">
        <f t="shared" si="2"/>
        <v>FB_maintenance</v>
      </c>
    </row>
    <row r="71" spans="1:12" s="27" customFormat="1" hidden="1" x14ac:dyDescent="0.25">
      <c r="A71" s="25">
        <v>64</v>
      </c>
      <c r="B71" s="26" t="s">
        <v>134</v>
      </c>
      <c r="C71" s="25" t="s">
        <v>135</v>
      </c>
      <c r="D71" s="25" t="s">
        <v>24</v>
      </c>
      <c r="E71" s="26" t="s">
        <v>1352</v>
      </c>
      <c r="G71" s="28"/>
      <c r="H71" s="27" t="s">
        <v>1514</v>
      </c>
      <c r="K71" s="29" t="str">
        <f t="shared" si="0"/>
        <v>Pump2</v>
      </c>
      <c r="L71" s="29" t="str">
        <f t="shared" si="2"/>
        <v>FB_Temp_DEBearing</v>
      </c>
    </row>
    <row r="72" spans="1:12" s="27" customFormat="1" hidden="1" x14ac:dyDescent="0.25">
      <c r="A72" s="25">
        <v>65</v>
      </c>
      <c r="B72" s="26" t="s">
        <v>136</v>
      </c>
      <c r="C72" s="25" t="s">
        <v>137</v>
      </c>
      <c r="D72" s="25" t="s">
        <v>24</v>
      </c>
      <c r="E72" s="26" t="s">
        <v>1353</v>
      </c>
      <c r="G72" s="28"/>
      <c r="H72" s="27" t="s">
        <v>1515</v>
      </c>
      <c r="K72" s="29" t="str">
        <f t="shared" si="0"/>
        <v>Pump2</v>
      </c>
      <c r="L72" s="29" t="str">
        <f t="shared" si="2"/>
        <v>FB_Temp_NDEBearing</v>
      </c>
    </row>
    <row r="73" spans="1:12" s="27" customFormat="1" hidden="1" x14ac:dyDescent="0.25">
      <c r="A73" s="25">
        <v>66</v>
      </c>
      <c r="B73" s="26" t="s">
        <v>138</v>
      </c>
      <c r="C73" s="25" t="s">
        <v>139</v>
      </c>
      <c r="D73" s="25" t="s">
        <v>24</v>
      </c>
      <c r="E73" s="26" t="s">
        <v>1308</v>
      </c>
      <c r="G73" s="28"/>
      <c r="H73" s="27" t="s">
        <v>1511</v>
      </c>
      <c r="K73" s="29" t="str">
        <f t="shared" ref="K73:K139" si="7">LEFT(B73, SEARCH("_",B73 ) - 1)</f>
        <v>Pump2</v>
      </c>
      <c r="L73" s="29" t="str">
        <f t="shared" si="2"/>
        <v>FB_Temp_PhaseA</v>
      </c>
    </row>
    <row r="74" spans="1:12" s="27" customFormat="1" hidden="1" x14ac:dyDescent="0.25">
      <c r="A74" s="25">
        <v>67</v>
      </c>
      <c r="B74" s="26" t="s">
        <v>140</v>
      </c>
      <c r="C74" s="25" t="s">
        <v>141</v>
      </c>
      <c r="D74" s="25" t="s">
        <v>24</v>
      </c>
      <c r="E74" s="26" t="s">
        <v>1309</v>
      </c>
      <c r="G74" s="28"/>
      <c r="H74" s="27" t="s">
        <v>1512</v>
      </c>
      <c r="K74" s="29" t="str">
        <f t="shared" si="7"/>
        <v>Pump2</v>
      </c>
      <c r="L74" s="29" t="str">
        <f t="shared" si="2"/>
        <v>FB_Temp_PhaseB</v>
      </c>
    </row>
    <row r="75" spans="1:12" s="27" customFormat="1" hidden="1" x14ac:dyDescent="0.25">
      <c r="A75" s="25">
        <v>68</v>
      </c>
      <c r="B75" s="26" t="s">
        <v>142</v>
      </c>
      <c r="C75" s="25" t="s">
        <v>143</v>
      </c>
      <c r="D75" s="25" t="s">
        <v>24</v>
      </c>
      <c r="E75" s="26" t="s">
        <v>1310</v>
      </c>
      <c r="G75" s="28"/>
      <c r="H75" s="27" t="s">
        <v>1513</v>
      </c>
      <c r="K75" s="29" t="str">
        <f t="shared" si="7"/>
        <v>Pump2</v>
      </c>
      <c r="L75" s="29" t="str">
        <f t="shared" si="2"/>
        <v>FB_Temp_PhaseC</v>
      </c>
    </row>
    <row r="76" spans="1:12" s="27" customFormat="1" hidden="1" x14ac:dyDescent="0.25">
      <c r="A76" s="25">
        <v>69</v>
      </c>
      <c r="B76" s="26" t="s">
        <v>144</v>
      </c>
      <c r="C76" s="25" t="s">
        <v>145</v>
      </c>
      <c r="D76" s="25" t="s">
        <v>35</v>
      </c>
      <c r="E76" s="26" t="s">
        <v>1315</v>
      </c>
      <c r="G76" s="28"/>
      <c r="K76" s="29" t="str">
        <f t="shared" si="7"/>
        <v>Meter2</v>
      </c>
      <c r="L76" s="29" t="str">
        <f t="shared" si="2"/>
        <v>U1</v>
      </c>
    </row>
    <row r="77" spans="1:12" s="27" customFormat="1" hidden="1" x14ac:dyDescent="0.25">
      <c r="A77" s="25">
        <v>70</v>
      </c>
      <c r="B77" s="26" t="s">
        <v>146</v>
      </c>
      <c r="C77" s="25" t="s">
        <v>147</v>
      </c>
      <c r="D77" s="25" t="s">
        <v>35</v>
      </c>
      <c r="E77" s="26" t="s">
        <v>1316</v>
      </c>
      <c r="G77" s="28"/>
      <c r="K77" s="29" t="str">
        <f t="shared" si="7"/>
        <v>Meter2</v>
      </c>
      <c r="L77" s="29" t="str">
        <f t="shared" si="2"/>
        <v>U2</v>
      </c>
    </row>
    <row r="78" spans="1:12" s="27" customFormat="1" hidden="1" x14ac:dyDescent="0.25">
      <c r="A78" s="25">
        <v>71</v>
      </c>
      <c r="B78" s="26" t="s">
        <v>148</v>
      </c>
      <c r="C78" s="25" t="s">
        <v>149</v>
      </c>
      <c r="D78" s="25" t="s">
        <v>35</v>
      </c>
      <c r="E78" s="26" t="s">
        <v>1317</v>
      </c>
      <c r="G78" s="28"/>
      <c r="K78" s="29" t="str">
        <f t="shared" si="7"/>
        <v>Meter2</v>
      </c>
      <c r="L78" s="29" t="str">
        <f t="shared" ref="L78:L144" si="8">RIGHT(B78, LEN(B78)-SEARCH("_",B78 ))</f>
        <v>U3</v>
      </c>
    </row>
    <row r="79" spans="1:12" s="27" customFormat="1" hidden="1" x14ac:dyDescent="0.25">
      <c r="A79" s="25">
        <v>72</v>
      </c>
      <c r="B79" s="26" t="s">
        <v>150</v>
      </c>
      <c r="C79" s="25" t="s">
        <v>151</v>
      </c>
      <c r="D79" s="25" t="s">
        <v>35</v>
      </c>
      <c r="E79" s="26" t="s">
        <v>1318</v>
      </c>
      <c r="G79" s="28"/>
      <c r="K79" s="29" t="str">
        <f t="shared" si="7"/>
        <v>Meter2</v>
      </c>
      <c r="L79" s="29" t="str">
        <f t="shared" si="8"/>
        <v>U_Ph</v>
      </c>
    </row>
    <row r="80" spans="1:12" s="27" customFormat="1" hidden="1" x14ac:dyDescent="0.25">
      <c r="A80" s="25">
        <v>73</v>
      </c>
      <c r="B80" s="26" t="s">
        <v>152</v>
      </c>
      <c r="C80" s="25" t="s">
        <v>153</v>
      </c>
      <c r="D80" s="25" t="s">
        <v>35</v>
      </c>
      <c r="E80" s="26" t="s">
        <v>1319</v>
      </c>
      <c r="G80" s="28"/>
      <c r="H80" s="27" t="s">
        <v>1319</v>
      </c>
      <c r="K80" s="29" t="str">
        <f t="shared" si="7"/>
        <v>Meter2</v>
      </c>
      <c r="L80" s="29" t="str">
        <f t="shared" si="8"/>
        <v>U12</v>
      </c>
    </row>
    <row r="81" spans="1:12" s="27" customFormat="1" hidden="1" x14ac:dyDescent="0.25">
      <c r="A81" s="25">
        <v>74</v>
      </c>
      <c r="B81" s="26" t="s">
        <v>154</v>
      </c>
      <c r="C81" s="25" t="s">
        <v>155</v>
      </c>
      <c r="D81" s="25" t="s">
        <v>35</v>
      </c>
      <c r="E81" s="26" t="s">
        <v>1320</v>
      </c>
      <c r="G81" s="28"/>
      <c r="H81" s="27" t="s">
        <v>1320</v>
      </c>
      <c r="K81" s="29" t="str">
        <f t="shared" si="7"/>
        <v>Meter2</v>
      </c>
      <c r="L81" s="29" t="str">
        <f t="shared" si="8"/>
        <v>U23</v>
      </c>
    </row>
    <row r="82" spans="1:12" s="27" customFormat="1" hidden="1" x14ac:dyDescent="0.25">
      <c r="A82" s="25">
        <v>75</v>
      </c>
      <c r="B82" s="26" t="s">
        <v>156</v>
      </c>
      <c r="C82" s="25" t="s">
        <v>157</v>
      </c>
      <c r="D82" s="25" t="s">
        <v>35</v>
      </c>
      <c r="E82" s="26" t="s">
        <v>1321</v>
      </c>
      <c r="G82" s="28"/>
      <c r="H82" s="27" t="s">
        <v>1516</v>
      </c>
      <c r="K82" s="29" t="str">
        <f t="shared" si="7"/>
        <v>Meter2</v>
      </c>
      <c r="L82" s="29" t="str">
        <f t="shared" si="8"/>
        <v>U31</v>
      </c>
    </row>
    <row r="83" spans="1:12" s="27" customFormat="1" hidden="1" x14ac:dyDescent="0.25">
      <c r="A83" s="25">
        <v>76</v>
      </c>
      <c r="B83" s="26" t="s">
        <v>158</v>
      </c>
      <c r="C83" s="25" t="s">
        <v>159</v>
      </c>
      <c r="D83" s="25" t="s">
        <v>35</v>
      </c>
      <c r="E83" s="26" t="s">
        <v>1322</v>
      </c>
      <c r="G83" s="28"/>
      <c r="K83" s="29" t="str">
        <f t="shared" si="7"/>
        <v>Meter2</v>
      </c>
      <c r="L83" s="29" t="str">
        <f t="shared" si="8"/>
        <v>Uline</v>
      </c>
    </row>
    <row r="84" spans="1:12" s="27" customFormat="1" hidden="1" x14ac:dyDescent="0.25">
      <c r="A84" s="25">
        <v>77</v>
      </c>
      <c r="B84" s="26" t="s">
        <v>160</v>
      </c>
      <c r="C84" s="25" t="s">
        <v>161</v>
      </c>
      <c r="D84" s="25" t="s">
        <v>35</v>
      </c>
      <c r="E84" s="26" t="s">
        <v>1312</v>
      </c>
      <c r="G84" s="28"/>
      <c r="H84" s="29"/>
      <c r="K84" s="29" t="str">
        <f t="shared" si="7"/>
        <v>Meter2</v>
      </c>
      <c r="L84" s="29" t="str">
        <f t="shared" si="8"/>
        <v>I1</v>
      </c>
    </row>
    <row r="85" spans="1:12" s="27" customFormat="1" hidden="1" x14ac:dyDescent="0.25">
      <c r="A85" s="25">
        <v>78</v>
      </c>
      <c r="B85" s="26" t="s">
        <v>162</v>
      </c>
      <c r="C85" s="25" t="s">
        <v>163</v>
      </c>
      <c r="D85" s="25" t="s">
        <v>35</v>
      </c>
      <c r="E85" s="26" t="s">
        <v>1313</v>
      </c>
      <c r="G85" s="28"/>
      <c r="H85" s="29"/>
      <c r="K85" s="29" t="str">
        <f t="shared" si="7"/>
        <v>Meter2</v>
      </c>
      <c r="L85" s="29" t="str">
        <f t="shared" si="8"/>
        <v>I2</v>
      </c>
    </row>
    <row r="86" spans="1:12" s="27" customFormat="1" hidden="1" x14ac:dyDescent="0.25">
      <c r="A86" s="25">
        <v>79</v>
      </c>
      <c r="B86" s="26" t="s">
        <v>164</v>
      </c>
      <c r="C86" s="25" t="s">
        <v>165</v>
      </c>
      <c r="D86" s="25" t="s">
        <v>35</v>
      </c>
      <c r="E86" s="26" t="s">
        <v>1314</v>
      </c>
      <c r="G86" s="28"/>
      <c r="H86" s="29"/>
      <c r="K86" s="29" t="str">
        <f t="shared" si="7"/>
        <v>Meter2</v>
      </c>
      <c r="L86" s="29" t="str">
        <f t="shared" si="8"/>
        <v>I3</v>
      </c>
    </row>
    <row r="87" spans="1:12" s="27" customFormat="1" hidden="1" x14ac:dyDescent="0.25">
      <c r="A87" s="25">
        <v>80</v>
      </c>
      <c r="B87" s="26" t="s">
        <v>166</v>
      </c>
      <c r="C87" s="25" t="s">
        <v>167</v>
      </c>
      <c r="D87" s="25" t="s">
        <v>35</v>
      </c>
      <c r="E87" s="26" t="s">
        <v>1311</v>
      </c>
      <c r="G87" s="28"/>
      <c r="H87" s="26" t="s">
        <v>1311</v>
      </c>
      <c r="K87" s="29" t="str">
        <f t="shared" si="7"/>
        <v>Meter2</v>
      </c>
      <c r="L87" s="29" t="str">
        <f t="shared" si="8"/>
        <v>I_ph</v>
      </c>
    </row>
    <row r="88" spans="1:12" s="27" customFormat="1" hidden="1" x14ac:dyDescent="0.25">
      <c r="A88" s="25">
        <v>81</v>
      </c>
      <c r="B88" s="26" t="s">
        <v>168</v>
      </c>
      <c r="C88" s="25" t="s">
        <v>169</v>
      </c>
      <c r="D88" s="25" t="s">
        <v>35</v>
      </c>
      <c r="E88" s="26" t="s">
        <v>1323</v>
      </c>
      <c r="G88" s="28"/>
      <c r="K88" s="29" t="str">
        <f t="shared" si="7"/>
        <v>Meter2</v>
      </c>
      <c r="L88" s="29" t="str">
        <f t="shared" si="8"/>
        <v>kw1</v>
      </c>
    </row>
    <row r="89" spans="1:12" s="27" customFormat="1" hidden="1" x14ac:dyDescent="0.25">
      <c r="A89" s="25">
        <v>82</v>
      </c>
      <c r="B89" s="26" t="s">
        <v>170</v>
      </c>
      <c r="C89" s="25" t="s">
        <v>171</v>
      </c>
      <c r="D89" s="25" t="s">
        <v>35</v>
      </c>
      <c r="E89" s="26" t="s">
        <v>1324</v>
      </c>
      <c r="G89" s="28"/>
      <c r="K89" s="29" t="str">
        <f t="shared" si="7"/>
        <v>Meter2</v>
      </c>
      <c r="L89" s="29" t="str">
        <f t="shared" si="8"/>
        <v>kw2</v>
      </c>
    </row>
    <row r="90" spans="1:12" s="27" customFormat="1" hidden="1" x14ac:dyDescent="0.25">
      <c r="A90" s="25">
        <v>83</v>
      </c>
      <c r="B90" s="26" t="s">
        <v>172</v>
      </c>
      <c r="C90" s="25" t="s">
        <v>173</v>
      </c>
      <c r="D90" s="25" t="s">
        <v>35</v>
      </c>
      <c r="E90" s="26" t="s">
        <v>1325</v>
      </c>
      <c r="G90" s="28"/>
      <c r="K90" s="29" t="str">
        <f t="shared" si="7"/>
        <v>Meter2</v>
      </c>
      <c r="L90" s="29" t="str">
        <f t="shared" si="8"/>
        <v>kw3</v>
      </c>
    </row>
    <row r="91" spans="1:12" s="27" customFormat="1" hidden="1" x14ac:dyDescent="0.25">
      <c r="A91" s="25">
        <v>84</v>
      </c>
      <c r="B91" s="26" t="s">
        <v>174</v>
      </c>
      <c r="C91" s="25" t="s">
        <v>175</v>
      </c>
      <c r="D91" s="25" t="s">
        <v>35</v>
      </c>
      <c r="E91" s="26" t="s">
        <v>1326</v>
      </c>
      <c r="G91" s="28"/>
      <c r="K91" s="29" t="str">
        <f t="shared" si="7"/>
        <v>Meter2</v>
      </c>
      <c r="L91" s="29" t="str">
        <f t="shared" si="8"/>
        <v>kva1</v>
      </c>
    </row>
    <row r="92" spans="1:12" s="27" customFormat="1" hidden="1" x14ac:dyDescent="0.25">
      <c r="A92" s="25">
        <v>85</v>
      </c>
      <c r="B92" s="26" t="s">
        <v>176</v>
      </c>
      <c r="C92" s="25" t="s">
        <v>177</v>
      </c>
      <c r="D92" s="25" t="s">
        <v>35</v>
      </c>
      <c r="E92" s="26" t="s">
        <v>1327</v>
      </c>
      <c r="G92" s="28"/>
      <c r="K92" s="29" t="str">
        <f t="shared" si="7"/>
        <v>Meter2</v>
      </c>
      <c r="L92" s="29" t="str">
        <f t="shared" si="8"/>
        <v>kva2</v>
      </c>
    </row>
    <row r="93" spans="1:12" s="27" customFormat="1" hidden="1" x14ac:dyDescent="0.25">
      <c r="A93" s="25">
        <v>86</v>
      </c>
      <c r="B93" s="26" t="s">
        <v>178</v>
      </c>
      <c r="C93" s="25" t="s">
        <v>179</v>
      </c>
      <c r="D93" s="25" t="s">
        <v>35</v>
      </c>
      <c r="E93" s="26" t="s">
        <v>1328</v>
      </c>
      <c r="G93" s="28"/>
      <c r="K93" s="29" t="str">
        <f t="shared" si="7"/>
        <v>Meter2</v>
      </c>
      <c r="L93" s="29" t="str">
        <f t="shared" si="8"/>
        <v>kva3</v>
      </c>
    </row>
    <row r="94" spans="1:12" s="27" customFormat="1" hidden="1" x14ac:dyDescent="0.25">
      <c r="A94" s="25">
        <v>87</v>
      </c>
      <c r="B94" s="26" t="s">
        <v>180</v>
      </c>
      <c r="C94" s="25" t="s">
        <v>181</v>
      </c>
      <c r="D94" s="25" t="s">
        <v>35</v>
      </c>
      <c r="E94" s="26" t="s">
        <v>1329</v>
      </c>
      <c r="G94" s="28"/>
      <c r="K94" s="29" t="str">
        <f t="shared" si="7"/>
        <v>Meter2</v>
      </c>
      <c r="L94" s="29" t="str">
        <f t="shared" si="8"/>
        <v>kvar1</v>
      </c>
    </row>
    <row r="95" spans="1:12" s="27" customFormat="1" hidden="1" x14ac:dyDescent="0.25">
      <c r="A95" s="25">
        <v>88</v>
      </c>
      <c r="B95" s="26" t="s">
        <v>182</v>
      </c>
      <c r="C95" s="25" t="s">
        <v>183</v>
      </c>
      <c r="D95" s="25" t="s">
        <v>35</v>
      </c>
      <c r="E95" s="26" t="s">
        <v>1330</v>
      </c>
      <c r="G95" s="28"/>
      <c r="K95" s="29" t="str">
        <f t="shared" si="7"/>
        <v>Meter2</v>
      </c>
      <c r="L95" s="29" t="str">
        <f t="shared" si="8"/>
        <v>kvar2</v>
      </c>
    </row>
    <row r="96" spans="1:12" s="27" customFormat="1" hidden="1" x14ac:dyDescent="0.25">
      <c r="A96" s="25">
        <v>89</v>
      </c>
      <c r="B96" s="26" t="s">
        <v>184</v>
      </c>
      <c r="C96" s="25" t="s">
        <v>185</v>
      </c>
      <c r="D96" s="25" t="s">
        <v>35</v>
      </c>
      <c r="E96" s="26" t="s">
        <v>1331</v>
      </c>
      <c r="G96" s="28"/>
      <c r="K96" s="29" t="str">
        <f t="shared" si="7"/>
        <v>Meter2</v>
      </c>
      <c r="L96" s="29" t="str">
        <f t="shared" si="8"/>
        <v>kvar3</v>
      </c>
    </row>
    <row r="97" spans="1:12" s="27" customFormat="1" hidden="1" x14ac:dyDescent="0.25">
      <c r="A97" s="25">
        <v>90</v>
      </c>
      <c r="B97" s="26" t="s">
        <v>186</v>
      </c>
      <c r="C97" s="25" t="s">
        <v>187</v>
      </c>
      <c r="D97" s="25" t="s">
        <v>35</v>
      </c>
      <c r="E97" s="26" t="s">
        <v>1332</v>
      </c>
      <c r="G97" s="28"/>
      <c r="H97" s="27" t="s">
        <v>1482</v>
      </c>
      <c r="K97" s="29" t="str">
        <f t="shared" si="7"/>
        <v>Meter2</v>
      </c>
      <c r="L97" s="29" t="str">
        <f t="shared" si="8"/>
        <v>total_kw</v>
      </c>
    </row>
    <row r="98" spans="1:12" s="27" customFormat="1" hidden="1" x14ac:dyDescent="0.25">
      <c r="A98" s="25">
        <v>91</v>
      </c>
      <c r="B98" s="26" t="s">
        <v>188</v>
      </c>
      <c r="C98" s="25" t="s">
        <v>189</v>
      </c>
      <c r="D98" s="25" t="s">
        <v>35</v>
      </c>
      <c r="E98" s="26" t="s">
        <v>1333</v>
      </c>
      <c r="G98" s="28"/>
      <c r="K98" s="29" t="str">
        <f t="shared" si="7"/>
        <v>Meter2</v>
      </c>
      <c r="L98" s="29" t="str">
        <f t="shared" si="8"/>
        <v>total_kva</v>
      </c>
    </row>
    <row r="99" spans="1:12" s="27" customFormat="1" hidden="1" x14ac:dyDescent="0.25">
      <c r="A99" s="25">
        <v>92</v>
      </c>
      <c r="B99" s="26" t="s">
        <v>190</v>
      </c>
      <c r="C99" s="25" t="s">
        <v>191</v>
      </c>
      <c r="D99" s="25" t="s">
        <v>35</v>
      </c>
      <c r="E99" s="26" t="s">
        <v>1334</v>
      </c>
      <c r="G99" s="28"/>
      <c r="K99" s="29" t="str">
        <f t="shared" si="7"/>
        <v>Meter2</v>
      </c>
      <c r="L99" s="29" t="str">
        <f t="shared" si="8"/>
        <v>total_kvar</v>
      </c>
    </row>
    <row r="100" spans="1:12" s="27" customFormat="1" hidden="1" x14ac:dyDescent="0.25">
      <c r="A100" s="25">
        <v>93</v>
      </c>
      <c r="B100" s="26" t="s">
        <v>192</v>
      </c>
      <c r="C100" s="25" t="s">
        <v>193</v>
      </c>
      <c r="D100" s="25" t="s">
        <v>35</v>
      </c>
      <c r="E100" s="26" t="s">
        <v>1335</v>
      </c>
      <c r="G100" s="28"/>
      <c r="K100" s="29" t="str">
        <f t="shared" si="7"/>
        <v>Meter2</v>
      </c>
      <c r="L100" s="29" t="str">
        <f t="shared" si="8"/>
        <v>PF1</v>
      </c>
    </row>
    <row r="101" spans="1:12" s="27" customFormat="1" hidden="1" x14ac:dyDescent="0.25">
      <c r="A101" s="25">
        <v>94</v>
      </c>
      <c r="B101" s="26" t="s">
        <v>194</v>
      </c>
      <c r="C101" s="25" t="s">
        <v>195</v>
      </c>
      <c r="D101" s="25" t="s">
        <v>35</v>
      </c>
      <c r="E101" s="26" t="s">
        <v>1336</v>
      </c>
      <c r="G101" s="28"/>
      <c r="K101" s="29" t="str">
        <f t="shared" si="7"/>
        <v>Meter2</v>
      </c>
      <c r="L101" s="29" t="str">
        <f t="shared" si="8"/>
        <v>PF2</v>
      </c>
    </row>
    <row r="102" spans="1:12" s="27" customFormat="1" hidden="1" x14ac:dyDescent="0.25">
      <c r="A102" s="25">
        <v>95</v>
      </c>
      <c r="B102" s="26" t="s">
        <v>196</v>
      </c>
      <c r="C102" s="25" t="s">
        <v>197</v>
      </c>
      <c r="D102" s="25" t="s">
        <v>35</v>
      </c>
      <c r="E102" s="26" t="s">
        <v>1337</v>
      </c>
      <c r="G102" s="28"/>
      <c r="K102" s="29" t="str">
        <f t="shared" si="7"/>
        <v>Meter2</v>
      </c>
      <c r="L102" s="29" t="str">
        <f t="shared" si="8"/>
        <v>PF3</v>
      </c>
    </row>
    <row r="103" spans="1:12" s="27" customFormat="1" hidden="1" x14ac:dyDescent="0.25">
      <c r="A103" s="25">
        <v>96</v>
      </c>
      <c r="B103" s="26" t="s">
        <v>198</v>
      </c>
      <c r="C103" s="25" t="s">
        <v>199</v>
      </c>
      <c r="D103" s="25" t="s">
        <v>35</v>
      </c>
      <c r="E103" s="26" t="s">
        <v>1338</v>
      </c>
      <c r="G103" s="28"/>
      <c r="H103" s="27" t="s">
        <v>1405</v>
      </c>
      <c r="K103" s="29" t="str">
        <f t="shared" si="7"/>
        <v>Meter2</v>
      </c>
      <c r="L103" s="29" t="str">
        <f t="shared" si="8"/>
        <v>PF</v>
      </c>
    </row>
    <row r="104" spans="1:12" s="27" customFormat="1" hidden="1" x14ac:dyDescent="0.25">
      <c r="A104" s="25">
        <v>97</v>
      </c>
      <c r="B104" s="26" t="s">
        <v>200</v>
      </c>
      <c r="C104" s="25" t="s">
        <v>201</v>
      </c>
      <c r="D104" s="25" t="s">
        <v>35</v>
      </c>
      <c r="E104" s="26" t="s">
        <v>1339</v>
      </c>
      <c r="G104" s="28"/>
      <c r="H104" s="27" t="s">
        <v>1339</v>
      </c>
      <c r="K104" s="29" t="str">
        <f t="shared" si="7"/>
        <v>Meter2</v>
      </c>
      <c r="L104" s="29" t="str">
        <f t="shared" si="8"/>
        <v>freq</v>
      </c>
    </row>
    <row r="105" spans="1:12" s="27" customFormat="1" hidden="1" x14ac:dyDescent="0.25">
      <c r="A105" s="25">
        <v>98</v>
      </c>
      <c r="B105" s="26" t="s">
        <v>202</v>
      </c>
      <c r="C105" s="25" t="s">
        <v>203</v>
      </c>
      <c r="D105" s="25" t="s">
        <v>35</v>
      </c>
      <c r="E105" s="26" t="s">
        <v>1340</v>
      </c>
      <c r="G105" s="28"/>
      <c r="H105" s="27" t="s">
        <v>1340</v>
      </c>
      <c r="K105" s="29" t="str">
        <f t="shared" si="7"/>
        <v>Meter2</v>
      </c>
      <c r="L105" s="29" t="str">
        <f t="shared" si="8"/>
        <v>kwh</v>
      </c>
    </row>
    <row r="106" spans="1:12" s="27" customFormat="1" hidden="1" x14ac:dyDescent="0.25">
      <c r="A106" s="25">
        <v>99</v>
      </c>
      <c r="B106" s="26" t="s">
        <v>204</v>
      </c>
      <c r="C106" s="25" t="s">
        <v>205</v>
      </c>
      <c r="D106" s="25" t="s">
        <v>35</v>
      </c>
      <c r="E106" s="26" t="s">
        <v>1341</v>
      </c>
      <c r="G106" s="28"/>
      <c r="K106" s="29" t="str">
        <f t="shared" si="7"/>
        <v>Meter2</v>
      </c>
      <c r="L106" s="29" t="str">
        <f t="shared" si="8"/>
        <v>kvah</v>
      </c>
    </row>
    <row r="107" spans="1:12" s="27" customFormat="1" hidden="1" x14ac:dyDescent="0.25">
      <c r="A107" s="25">
        <v>100</v>
      </c>
      <c r="B107" s="26" t="s">
        <v>206</v>
      </c>
      <c r="C107" s="25" t="s">
        <v>207</v>
      </c>
      <c r="D107" s="25" t="s">
        <v>35</v>
      </c>
      <c r="E107" s="26" t="s">
        <v>1342</v>
      </c>
      <c r="G107" s="28"/>
      <c r="K107" s="29" t="str">
        <f t="shared" si="7"/>
        <v>Meter2</v>
      </c>
      <c r="L107" s="29" t="str">
        <f t="shared" si="8"/>
        <v>kvarh</v>
      </c>
    </row>
    <row r="108" spans="1:12" s="27" customFormat="1" hidden="1" x14ac:dyDescent="0.25">
      <c r="A108" s="25">
        <v>101</v>
      </c>
      <c r="B108" s="26" t="s">
        <v>208</v>
      </c>
      <c r="C108" s="25" t="s">
        <v>209</v>
      </c>
      <c r="D108" s="25" t="s">
        <v>7</v>
      </c>
      <c r="E108" s="26" t="s">
        <v>1343</v>
      </c>
      <c r="G108" s="28"/>
      <c r="K108" s="29" t="str">
        <f t="shared" si="7"/>
        <v>Pump2</v>
      </c>
      <c r="L108" s="29" t="str">
        <f t="shared" si="8"/>
        <v>Ctrl_run_Pump</v>
      </c>
    </row>
    <row r="109" spans="1:12" s="27" customFormat="1" hidden="1" x14ac:dyDescent="0.25">
      <c r="A109" s="25">
        <v>102</v>
      </c>
      <c r="B109" s="26" t="s">
        <v>210</v>
      </c>
      <c r="C109" s="25" t="s">
        <v>211</v>
      </c>
      <c r="D109" s="25" t="s">
        <v>7</v>
      </c>
      <c r="E109" s="26" t="s">
        <v>1354</v>
      </c>
      <c r="G109" s="28"/>
      <c r="H109" s="27" t="s">
        <v>1496</v>
      </c>
      <c r="K109" s="29" t="str">
        <f t="shared" si="7"/>
        <v>Pump2</v>
      </c>
      <c r="L109" s="29" t="str">
        <f t="shared" si="8"/>
        <v>FB_Fault</v>
      </c>
    </row>
    <row r="110" spans="1:12" s="27" customFormat="1" hidden="1" x14ac:dyDescent="0.25">
      <c r="A110" s="25">
        <v>103</v>
      </c>
      <c r="B110" s="26" t="s">
        <v>212</v>
      </c>
      <c r="C110" s="25" t="s">
        <v>213</v>
      </c>
      <c r="D110" s="25" t="s">
        <v>7</v>
      </c>
      <c r="E110" s="26" t="s">
        <v>1344</v>
      </c>
      <c r="G110" s="28"/>
      <c r="K110" s="29" t="str">
        <f t="shared" si="7"/>
        <v>Pump2</v>
      </c>
      <c r="L110" s="29" t="str">
        <f t="shared" si="8"/>
        <v>Ctrl_PB_Run</v>
      </c>
    </row>
    <row r="111" spans="1:12" s="27" customFormat="1" hidden="1" x14ac:dyDescent="0.25">
      <c r="A111" s="25">
        <v>104</v>
      </c>
      <c r="B111" s="26" t="s">
        <v>214</v>
      </c>
      <c r="C111" s="25" t="s">
        <v>215</v>
      </c>
      <c r="D111" s="25" t="s">
        <v>7</v>
      </c>
      <c r="E111" s="26" t="s">
        <v>1345</v>
      </c>
      <c r="G111" s="28"/>
      <c r="K111" s="29" t="str">
        <f t="shared" si="7"/>
        <v>Pump2</v>
      </c>
      <c r="L111" s="29" t="str">
        <f t="shared" si="8"/>
        <v>Ctrl_PB_Stop</v>
      </c>
    </row>
    <row r="112" spans="1:12" s="27" customFormat="1" hidden="1" x14ac:dyDescent="0.25">
      <c r="A112" s="25">
        <v>105</v>
      </c>
      <c r="B112" s="26" t="s">
        <v>216</v>
      </c>
      <c r="C112" s="25" t="s">
        <v>217</v>
      </c>
      <c r="D112" s="25" t="s">
        <v>7</v>
      </c>
      <c r="E112" s="26" t="s">
        <v>1346</v>
      </c>
      <c r="G112" s="28"/>
      <c r="K112" s="29" t="str">
        <f t="shared" si="7"/>
        <v>Pump2</v>
      </c>
      <c r="L112" s="29" t="str">
        <f t="shared" si="8"/>
        <v>Ctrl_PB_RST</v>
      </c>
    </row>
    <row r="113" spans="1:12" s="30" customFormat="1" hidden="1" x14ac:dyDescent="0.25">
      <c r="A113" s="23">
        <v>50</v>
      </c>
      <c r="B113" s="24" t="s">
        <v>1566</v>
      </c>
      <c r="C113" s="23" t="s">
        <v>1564</v>
      </c>
      <c r="D113" s="23" t="s">
        <v>7</v>
      </c>
      <c r="E113" s="24" t="s">
        <v>1558</v>
      </c>
      <c r="G113" s="28"/>
      <c r="K113" s="31" t="str">
        <f t="shared" si="7"/>
        <v>Pump2</v>
      </c>
      <c r="L113" s="31" t="str">
        <f t="shared" si="8"/>
        <v>Ctrl_PB_Maintenance</v>
      </c>
    </row>
    <row r="114" spans="1:12" s="30" customFormat="1" hidden="1" x14ac:dyDescent="0.25">
      <c r="A114" s="23">
        <v>50</v>
      </c>
      <c r="B114" s="24" t="s">
        <v>1567</v>
      </c>
      <c r="C114" s="23" t="s">
        <v>1565</v>
      </c>
      <c r="D114" s="23" t="s">
        <v>7</v>
      </c>
      <c r="E114" s="24" t="s">
        <v>1559</v>
      </c>
      <c r="G114" s="28"/>
      <c r="H114" s="30" t="s">
        <v>1563</v>
      </c>
      <c r="K114" s="31" t="str">
        <f t="shared" si="7"/>
        <v>Pump2</v>
      </c>
      <c r="L114" s="31" t="str">
        <f t="shared" si="8"/>
        <v>FB_Maintenance</v>
      </c>
    </row>
    <row r="115" spans="1:12" s="27" customFormat="1" hidden="1" x14ac:dyDescent="0.25">
      <c r="A115" s="25">
        <v>106</v>
      </c>
      <c r="B115" s="26" t="s">
        <v>218</v>
      </c>
      <c r="C115" s="25" t="s">
        <v>219</v>
      </c>
      <c r="D115" s="25" t="s">
        <v>24</v>
      </c>
      <c r="E115" s="26" t="s">
        <v>1347</v>
      </c>
      <c r="G115" s="28"/>
      <c r="H115" s="27" t="s">
        <v>1518</v>
      </c>
      <c r="K115" s="29" t="str">
        <f t="shared" si="7"/>
        <v>Pump2</v>
      </c>
      <c r="L115" s="29" t="str">
        <f t="shared" si="8"/>
        <v>Time_Run_M</v>
      </c>
    </row>
    <row r="116" spans="1:12" s="27" customFormat="1" hidden="1" x14ac:dyDescent="0.25">
      <c r="A116" s="25">
        <v>107</v>
      </c>
      <c r="B116" s="26" t="s">
        <v>220</v>
      </c>
      <c r="C116" s="25" t="s">
        <v>221</v>
      </c>
      <c r="D116" s="25" t="s">
        <v>24</v>
      </c>
      <c r="E116" s="26" t="s">
        <v>1348</v>
      </c>
      <c r="G116" s="28"/>
      <c r="H116" s="27" t="s">
        <v>1518</v>
      </c>
      <c r="K116" s="29" t="str">
        <f t="shared" si="7"/>
        <v>Pump2</v>
      </c>
      <c r="L116" s="29" t="str">
        <f t="shared" si="8"/>
        <v>Time_Run_H</v>
      </c>
    </row>
    <row r="117" spans="1:12" s="27" customFormat="1" hidden="1" x14ac:dyDescent="0.25">
      <c r="A117" s="25">
        <v>108</v>
      </c>
      <c r="B117" s="26" t="s">
        <v>222</v>
      </c>
      <c r="C117" s="25" t="s">
        <v>223</v>
      </c>
      <c r="D117" s="25" t="s">
        <v>24</v>
      </c>
      <c r="E117" s="26" t="s">
        <v>1349</v>
      </c>
      <c r="G117" s="28"/>
      <c r="H117" s="27" t="s">
        <v>1517</v>
      </c>
      <c r="K117" s="29" t="str">
        <f t="shared" si="7"/>
        <v>Pump2</v>
      </c>
      <c r="L117" s="29" t="str">
        <f t="shared" si="8"/>
        <v>Total_Time_Run_M</v>
      </c>
    </row>
    <row r="118" spans="1:12" s="27" customFormat="1" hidden="1" x14ac:dyDescent="0.25">
      <c r="A118" s="25">
        <v>109</v>
      </c>
      <c r="B118" s="26" t="s">
        <v>224</v>
      </c>
      <c r="C118" s="25" t="s">
        <v>225</v>
      </c>
      <c r="D118" s="25" t="s">
        <v>24</v>
      </c>
      <c r="E118" s="26" t="s">
        <v>1350</v>
      </c>
      <c r="G118" s="28"/>
      <c r="H118" s="27" t="s">
        <v>1517</v>
      </c>
      <c r="K118" s="29" t="str">
        <f t="shared" si="7"/>
        <v>Pump2</v>
      </c>
      <c r="L118" s="29" t="str">
        <f t="shared" si="8"/>
        <v>Total_Time_Run_H</v>
      </c>
    </row>
    <row r="119" spans="1:12" s="27" customFormat="1" hidden="1" x14ac:dyDescent="0.25">
      <c r="A119" s="25">
        <v>110</v>
      </c>
      <c r="B119" s="26" t="s">
        <v>226</v>
      </c>
      <c r="C119" s="25" t="s">
        <v>227</v>
      </c>
      <c r="D119" s="25" t="s">
        <v>24</v>
      </c>
      <c r="E119" s="26" t="s">
        <v>1351</v>
      </c>
      <c r="G119" s="28"/>
      <c r="K119" s="29" t="str">
        <f t="shared" si="7"/>
        <v>Pump2</v>
      </c>
      <c r="L119" s="29" t="str">
        <f t="shared" si="8"/>
        <v>NumberOfclose</v>
      </c>
    </row>
    <row r="120" spans="1:12" s="27" customFormat="1" hidden="1" x14ac:dyDescent="0.25">
      <c r="A120" s="25">
        <v>111</v>
      </c>
      <c r="B120" s="26" t="s">
        <v>228</v>
      </c>
      <c r="C120" s="25" t="s">
        <v>229</v>
      </c>
      <c r="D120" s="25" t="s">
        <v>7</v>
      </c>
      <c r="E120" s="26" t="s">
        <v>1355</v>
      </c>
      <c r="G120" s="28" t="s">
        <v>1491</v>
      </c>
      <c r="K120" s="29" t="str">
        <f t="shared" si="7"/>
        <v>Pump3</v>
      </c>
      <c r="L120" s="29" t="str">
        <f t="shared" si="8"/>
        <v>FB_auto</v>
      </c>
    </row>
    <row r="121" spans="1:12" s="27" customFormat="1" hidden="1" x14ac:dyDescent="0.25">
      <c r="A121" s="25">
        <v>112</v>
      </c>
      <c r="B121" s="26" t="s">
        <v>230</v>
      </c>
      <c r="C121" s="25" t="s">
        <v>231</v>
      </c>
      <c r="D121" s="25" t="s">
        <v>7</v>
      </c>
      <c r="E121" s="26" t="s">
        <v>1306</v>
      </c>
      <c r="G121" s="28"/>
      <c r="H121" s="27" t="s">
        <v>1505</v>
      </c>
      <c r="K121" s="29" t="str">
        <f t="shared" si="7"/>
        <v>Pump3</v>
      </c>
      <c r="L121" s="29" t="str">
        <f t="shared" si="8"/>
        <v>FB_Run</v>
      </c>
    </row>
    <row r="122" spans="1:12" s="27" customFormat="1" hidden="1" x14ac:dyDescent="0.25">
      <c r="A122" s="25">
        <v>113</v>
      </c>
      <c r="B122" s="26" t="s">
        <v>232</v>
      </c>
      <c r="C122" s="25" t="s">
        <v>233</v>
      </c>
      <c r="D122" s="25" t="s">
        <v>7</v>
      </c>
      <c r="E122" s="26" t="s">
        <v>1307</v>
      </c>
      <c r="G122" s="28"/>
      <c r="K122" s="29" t="str">
        <f t="shared" si="7"/>
        <v>Pump3</v>
      </c>
      <c r="L122" s="29" t="str">
        <f t="shared" si="8"/>
        <v>FB_Fault_V</v>
      </c>
    </row>
    <row r="123" spans="1:12" s="27" customFormat="1" hidden="1" x14ac:dyDescent="0.25">
      <c r="A123" s="25">
        <v>114</v>
      </c>
      <c r="B123" s="26" t="s">
        <v>234</v>
      </c>
      <c r="C123" s="25" t="s">
        <v>235</v>
      </c>
      <c r="D123" s="25" t="s">
        <v>7</v>
      </c>
      <c r="E123" s="26" t="s">
        <v>1307</v>
      </c>
      <c r="G123" s="28"/>
      <c r="K123" s="29" t="str">
        <f t="shared" si="7"/>
        <v>Pump3</v>
      </c>
      <c r="L123" s="29" t="str">
        <f t="shared" si="8"/>
        <v>FB_Fault_SS</v>
      </c>
    </row>
    <row r="124" spans="1:12" s="27" customFormat="1" hidden="1" x14ac:dyDescent="0.25">
      <c r="A124" s="25">
        <v>115</v>
      </c>
      <c r="B124" s="26" t="s">
        <v>236</v>
      </c>
      <c r="C124" s="25" t="s">
        <v>237</v>
      </c>
      <c r="D124" s="25" t="s">
        <v>7</v>
      </c>
      <c r="E124" s="26" t="s">
        <v>1356</v>
      </c>
      <c r="G124" s="28"/>
      <c r="K124" s="29" t="str">
        <f t="shared" si="7"/>
        <v>Pump3</v>
      </c>
      <c r="L124" s="29" t="str">
        <f t="shared" si="8"/>
        <v>FB_Fault_Temp</v>
      </c>
    </row>
    <row r="125" spans="1:12" s="27" customFormat="1" hidden="1" x14ac:dyDescent="0.25">
      <c r="A125" s="25">
        <v>116</v>
      </c>
      <c r="B125" s="26" t="s">
        <v>238</v>
      </c>
      <c r="C125" s="25" t="s">
        <v>239</v>
      </c>
      <c r="D125" s="25" t="s">
        <v>7</v>
      </c>
      <c r="E125" s="26" t="s">
        <v>1307</v>
      </c>
      <c r="G125" s="28"/>
      <c r="K125" s="29" t="str">
        <f t="shared" si="7"/>
        <v>Pump3</v>
      </c>
      <c r="L125" s="29" t="str">
        <f t="shared" si="8"/>
        <v>FB_Fault_Curent</v>
      </c>
    </row>
    <row r="126" spans="1:12" s="27" customFormat="1" hidden="1" x14ac:dyDescent="0.25">
      <c r="A126" s="25">
        <v>117</v>
      </c>
      <c r="B126" s="26" t="s">
        <v>240</v>
      </c>
      <c r="C126" s="25" t="s">
        <v>241</v>
      </c>
      <c r="D126" s="25" t="s">
        <v>7</v>
      </c>
      <c r="E126" s="26" t="s">
        <v>1357</v>
      </c>
      <c r="G126" s="28"/>
      <c r="K126" s="29" t="str">
        <f t="shared" si="7"/>
        <v>Pump3</v>
      </c>
      <c r="L126" s="29" t="str">
        <f t="shared" si="8"/>
        <v>Clock_1m</v>
      </c>
    </row>
    <row r="127" spans="1:12" s="30" customFormat="1" x14ac:dyDescent="0.25">
      <c r="A127" s="23">
        <v>118</v>
      </c>
      <c r="B127" s="24" t="s">
        <v>1526</v>
      </c>
      <c r="C127" s="23" t="s">
        <v>243</v>
      </c>
      <c r="D127" s="23" t="s">
        <v>7</v>
      </c>
      <c r="E127" s="24" t="s">
        <v>1525</v>
      </c>
      <c r="G127" s="28"/>
      <c r="H127" s="17" t="s">
        <v>1524</v>
      </c>
      <c r="K127" s="31" t="str">
        <f t="shared" si="7"/>
        <v>Pump3</v>
      </c>
      <c r="L127" s="31" t="str">
        <f t="shared" si="8"/>
        <v>FB_ON_MCCB</v>
      </c>
    </row>
    <row r="128" spans="1:12" s="30" customFormat="1" hidden="1" x14ac:dyDescent="0.25">
      <c r="A128" s="23">
        <v>118</v>
      </c>
      <c r="B128" s="24" t="s">
        <v>1527</v>
      </c>
      <c r="C128" s="23" t="s">
        <v>1528</v>
      </c>
      <c r="D128" s="23" t="s">
        <v>7</v>
      </c>
      <c r="E128" s="24" t="s">
        <v>1358</v>
      </c>
      <c r="G128" s="28"/>
      <c r="H128" s="30" t="s">
        <v>1495</v>
      </c>
      <c r="K128" s="31" t="str">
        <f t="shared" ref="K128" si="9">LEFT(B128, SEARCH("_",B128 ) - 1)</f>
        <v>Pump3</v>
      </c>
      <c r="L128" s="31" t="str">
        <f t="shared" ref="L128" si="10">RIGHT(B128, LEN(B128)-SEARCH("_",B128 ))</f>
        <v>FB_Stop</v>
      </c>
    </row>
    <row r="129" spans="1:12" s="27" customFormat="1" hidden="1" x14ac:dyDescent="0.25">
      <c r="A129" s="25">
        <v>119</v>
      </c>
      <c r="B129" s="26" t="s">
        <v>244</v>
      </c>
      <c r="C129" s="25" t="s">
        <v>245</v>
      </c>
      <c r="D129" s="25" t="s">
        <v>24</v>
      </c>
      <c r="E129" s="26" t="s">
        <v>1352</v>
      </c>
      <c r="G129" s="28"/>
      <c r="H129" s="27" t="s">
        <v>1514</v>
      </c>
      <c r="K129" s="29" t="str">
        <f t="shared" si="7"/>
        <v>Pump3</v>
      </c>
      <c r="L129" s="29" t="str">
        <f t="shared" si="8"/>
        <v>FB_Temp_DEBearing</v>
      </c>
    </row>
    <row r="130" spans="1:12" s="27" customFormat="1" hidden="1" x14ac:dyDescent="0.25">
      <c r="A130" s="25">
        <v>120</v>
      </c>
      <c r="B130" s="26" t="s">
        <v>246</v>
      </c>
      <c r="C130" s="25" t="s">
        <v>247</v>
      </c>
      <c r="D130" s="25" t="s">
        <v>24</v>
      </c>
      <c r="E130" s="26" t="s">
        <v>1353</v>
      </c>
      <c r="G130" s="28"/>
      <c r="H130" s="27" t="s">
        <v>1515</v>
      </c>
      <c r="K130" s="29" t="str">
        <f t="shared" si="7"/>
        <v>Pump3</v>
      </c>
      <c r="L130" s="29" t="str">
        <f t="shared" si="8"/>
        <v>FB_Temp_NDEBearing</v>
      </c>
    </row>
    <row r="131" spans="1:12" s="27" customFormat="1" hidden="1" x14ac:dyDescent="0.25">
      <c r="A131" s="25">
        <v>121</v>
      </c>
      <c r="B131" s="26" t="s">
        <v>248</v>
      </c>
      <c r="C131" s="25" t="s">
        <v>249</v>
      </c>
      <c r="D131" s="25" t="s">
        <v>24</v>
      </c>
      <c r="E131" s="26" t="s">
        <v>1308</v>
      </c>
      <c r="G131" s="28"/>
      <c r="H131" s="27" t="s">
        <v>1511</v>
      </c>
      <c r="K131" s="29" t="str">
        <f t="shared" si="7"/>
        <v>Pump3</v>
      </c>
      <c r="L131" s="29" t="str">
        <f t="shared" si="8"/>
        <v>FB_Temp_PhaseA</v>
      </c>
    </row>
    <row r="132" spans="1:12" s="27" customFormat="1" hidden="1" x14ac:dyDescent="0.25">
      <c r="A132" s="25">
        <v>122</v>
      </c>
      <c r="B132" s="26" t="s">
        <v>250</v>
      </c>
      <c r="C132" s="25" t="s">
        <v>251</v>
      </c>
      <c r="D132" s="25" t="s">
        <v>24</v>
      </c>
      <c r="E132" s="26" t="s">
        <v>1309</v>
      </c>
      <c r="G132" s="28"/>
      <c r="H132" s="27" t="s">
        <v>1512</v>
      </c>
      <c r="K132" s="29" t="str">
        <f t="shared" si="7"/>
        <v>Pump3</v>
      </c>
      <c r="L132" s="29" t="str">
        <f t="shared" si="8"/>
        <v>FB_Temp_PhaseB</v>
      </c>
    </row>
    <row r="133" spans="1:12" s="27" customFormat="1" hidden="1" x14ac:dyDescent="0.25">
      <c r="A133" s="25">
        <v>123</v>
      </c>
      <c r="B133" s="26" t="s">
        <v>252</v>
      </c>
      <c r="C133" s="25" t="s">
        <v>253</v>
      </c>
      <c r="D133" s="25" t="s">
        <v>24</v>
      </c>
      <c r="E133" s="26" t="s">
        <v>1310</v>
      </c>
      <c r="G133" s="28"/>
      <c r="H133" s="27" t="s">
        <v>1513</v>
      </c>
      <c r="K133" s="29" t="str">
        <f t="shared" si="7"/>
        <v>Pump3</v>
      </c>
      <c r="L133" s="29" t="str">
        <f t="shared" si="8"/>
        <v>FB_Temp_PhaseC</v>
      </c>
    </row>
    <row r="134" spans="1:12" s="27" customFormat="1" hidden="1" x14ac:dyDescent="0.25">
      <c r="A134" s="25">
        <v>124</v>
      </c>
      <c r="B134" s="26" t="s">
        <v>254</v>
      </c>
      <c r="C134" s="25" t="s">
        <v>255</v>
      </c>
      <c r="D134" s="25" t="s">
        <v>35</v>
      </c>
      <c r="E134" s="26" t="s">
        <v>1315</v>
      </c>
      <c r="G134" s="28"/>
      <c r="K134" s="29" t="str">
        <f t="shared" si="7"/>
        <v>Meter3</v>
      </c>
      <c r="L134" s="29" t="str">
        <f t="shared" si="8"/>
        <v>U1</v>
      </c>
    </row>
    <row r="135" spans="1:12" s="27" customFormat="1" hidden="1" x14ac:dyDescent="0.25">
      <c r="A135" s="25">
        <v>125</v>
      </c>
      <c r="B135" s="26" t="s">
        <v>256</v>
      </c>
      <c r="C135" s="25" t="s">
        <v>257</v>
      </c>
      <c r="D135" s="25" t="s">
        <v>35</v>
      </c>
      <c r="E135" s="26" t="s">
        <v>1316</v>
      </c>
      <c r="G135" s="28"/>
      <c r="K135" s="29" t="str">
        <f t="shared" si="7"/>
        <v>Meter3</v>
      </c>
      <c r="L135" s="29" t="str">
        <f t="shared" si="8"/>
        <v>U2</v>
      </c>
    </row>
    <row r="136" spans="1:12" s="27" customFormat="1" hidden="1" x14ac:dyDescent="0.25">
      <c r="A136" s="25">
        <v>126</v>
      </c>
      <c r="B136" s="26" t="s">
        <v>258</v>
      </c>
      <c r="C136" s="25" t="s">
        <v>259</v>
      </c>
      <c r="D136" s="25" t="s">
        <v>35</v>
      </c>
      <c r="E136" s="26" t="s">
        <v>1317</v>
      </c>
      <c r="G136" s="28"/>
      <c r="K136" s="29" t="str">
        <f t="shared" si="7"/>
        <v>Meter3</v>
      </c>
      <c r="L136" s="29" t="str">
        <f t="shared" si="8"/>
        <v>U3</v>
      </c>
    </row>
    <row r="137" spans="1:12" s="27" customFormat="1" hidden="1" x14ac:dyDescent="0.25">
      <c r="A137" s="25">
        <v>127</v>
      </c>
      <c r="B137" s="26" t="s">
        <v>260</v>
      </c>
      <c r="C137" s="25" t="s">
        <v>261</v>
      </c>
      <c r="D137" s="25" t="s">
        <v>35</v>
      </c>
      <c r="E137" s="26" t="s">
        <v>1318</v>
      </c>
      <c r="G137" s="28"/>
      <c r="K137" s="29" t="str">
        <f t="shared" si="7"/>
        <v>Meter3</v>
      </c>
      <c r="L137" s="29" t="str">
        <f t="shared" si="8"/>
        <v>U_Ph</v>
      </c>
    </row>
    <row r="138" spans="1:12" s="27" customFormat="1" hidden="1" x14ac:dyDescent="0.25">
      <c r="A138" s="25">
        <v>128</v>
      </c>
      <c r="B138" s="26" t="s">
        <v>262</v>
      </c>
      <c r="C138" s="25" t="s">
        <v>263</v>
      </c>
      <c r="D138" s="25" t="s">
        <v>35</v>
      </c>
      <c r="E138" s="26" t="s">
        <v>1319</v>
      </c>
      <c r="G138" s="28"/>
      <c r="H138" s="27" t="s">
        <v>1319</v>
      </c>
      <c r="K138" s="29" t="str">
        <f t="shared" si="7"/>
        <v>Meter3</v>
      </c>
      <c r="L138" s="29" t="str">
        <f t="shared" si="8"/>
        <v>U12</v>
      </c>
    </row>
    <row r="139" spans="1:12" s="27" customFormat="1" hidden="1" x14ac:dyDescent="0.25">
      <c r="A139" s="25">
        <v>129</v>
      </c>
      <c r="B139" s="26" t="s">
        <v>264</v>
      </c>
      <c r="C139" s="25" t="s">
        <v>265</v>
      </c>
      <c r="D139" s="25" t="s">
        <v>35</v>
      </c>
      <c r="E139" s="26" t="s">
        <v>1320</v>
      </c>
      <c r="G139" s="28"/>
      <c r="H139" s="27" t="s">
        <v>1320</v>
      </c>
      <c r="K139" s="29" t="str">
        <f t="shared" si="7"/>
        <v>Meter3</v>
      </c>
      <c r="L139" s="29" t="str">
        <f t="shared" si="8"/>
        <v>U23</v>
      </c>
    </row>
    <row r="140" spans="1:12" s="27" customFormat="1" hidden="1" x14ac:dyDescent="0.25">
      <c r="A140" s="25">
        <v>130</v>
      </c>
      <c r="B140" s="26" t="s">
        <v>266</v>
      </c>
      <c r="C140" s="25" t="s">
        <v>267</v>
      </c>
      <c r="D140" s="25" t="s">
        <v>35</v>
      </c>
      <c r="E140" s="26" t="s">
        <v>1321</v>
      </c>
      <c r="G140" s="28"/>
      <c r="H140" s="27" t="s">
        <v>1516</v>
      </c>
      <c r="K140" s="29" t="str">
        <f t="shared" ref="K140:K206" si="11">LEFT(B140, SEARCH("_",B140 ) - 1)</f>
        <v>Meter3</v>
      </c>
      <c r="L140" s="29" t="str">
        <f t="shared" si="8"/>
        <v>U31</v>
      </c>
    </row>
    <row r="141" spans="1:12" s="27" customFormat="1" hidden="1" x14ac:dyDescent="0.25">
      <c r="A141" s="25">
        <v>131</v>
      </c>
      <c r="B141" s="26" t="s">
        <v>268</v>
      </c>
      <c r="C141" s="25" t="s">
        <v>269</v>
      </c>
      <c r="D141" s="25" t="s">
        <v>35</v>
      </c>
      <c r="E141" s="26" t="s">
        <v>1322</v>
      </c>
      <c r="G141" s="28"/>
      <c r="K141" s="29" t="str">
        <f t="shared" si="11"/>
        <v>Meter3</v>
      </c>
      <c r="L141" s="29" t="str">
        <f t="shared" si="8"/>
        <v>Uline</v>
      </c>
    </row>
    <row r="142" spans="1:12" s="27" customFormat="1" hidden="1" x14ac:dyDescent="0.25">
      <c r="A142" s="25">
        <v>132</v>
      </c>
      <c r="B142" s="26" t="s">
        <v>270</v>
      </c>
      <c r="C142" s="25" t="s">
        <v>271</v>
      </c>
      <c r="D142" s="25" t="s">
        <v>35</v>
      </c>
      <c r="E142" s="26" t="s">
        <v>1312</v>
      </c>
      <c r="G142" s="28"/>
      <c r="H142" s="29"/>
      <c r="K142" s="29" t="str">
        <f t="shared" si="11"/>
        <v>Meter3</v>
      </c>
      <c r="L142" s="29" t="str">
        <f t="shared" si="8"/>
        <v>I1</v>
      </c>
    </row>
    <row r="143" spans="1:12" s="27" customFormat="1" hidden="1" x14ac:dyDescent="0.25">
      <c r="A143" s="25">
        <v>133</v>
      </c>
      <c r="B143" s="26" t="s">
        <v>272</v>
      </c>
      <c r="C143" s="25" t="s">
        <v>273</v>
      </c>
      <c r="D143" s="25" t="s">
        <v>35</v>
      </c>
      <c r="E143" s="26" t="s">
        <v>1313</v>
      </c>
      <c r="G143" s="28"/>
      <c r="H143" s="29"/>
      <c r="K143" s="29" t="str">
        <f t="shared" si="11"/>
        <v>Meter3</v>
      </c>
      <c r="L143" s="29" t="str">
        <f t="shared" si="8"/>
        <v>I2</v>
      </c>
    </row>
    <row r="144" spans="1:12" s="27" customFormat="1" hidden="1" x14ac:dyDescent="0.25">
      <c r="A144" s="25">
        <v>134</v>
      </c>
      <c r="B144" s="26" t="s">
        <v>274</v>
      </c>
      <c r="C144" s="25" t="s">
        <v>275</v>
      </c>
      <c r="D144" s="25" t="s">
        <v>35</v>
      </c>
      <c r="E144" s="26" t="s">
        <v>1314</v>
      </c>
      <c r="G144" s="28"/>
      <c r="H144" s="29"/>
      <c r="K144" s="29" t="str">
        <f t="shared" si="11"/>
        <v>Meter3</v>
      </c>
      <c r="L144" s="29" t="str">
        <f t="shared" si="8"/>
        <v>I3</v>
      </c>
    </row>
    <row r="145" spans="1:12" s="27" customFormat="1" hidden="1" x14ac:dyDescent="0.25">
      <c r="A145" s="25">
        <v>135</v>
      </c>
      <c r="B145" s="26" t="s">
        <v>276</v>
      </c>
      <c r="C145" s="25" t="s">
        <v>277</v>
      </c>
      <c r="D145" s="25" t="s">
        <v>35</v>
      </c>
      <c r="E145" s="26" t="s">
        <v>1311</v>
      </c>
      <c r="G145" s="28"/>
      <c r="H145" s="26" t="s">
        <v>1311</v>
      </c>
      <c r="K145" s="29" t="str">
        <f t="shared" si="11"/>
        <v>Meter3</v>
      </c>
      <c r="L145" s="29" t="str">
        <f t="shared" ref="L145:L211" si="12">RIGHT(B145, LEN(B145)-SEARCH("_",B145 ))</f>
        <v>I_ph</v>
      </c>
    </row>
    <row r="146" spans="1:12" s="27" customFormat="1" hidden="1" x14ac:dyDescent="0.25">
      <c r="A146" s="25">
        <v>136</v>
      </c>
      <c r="B146" s="26" t="s">
        <v>278</v>
      </c>
      <c r="C146" s="25" t="s">
        <v>279</v>
      </c>
      <c r="D146" s="25" t="s">
        <v>35</v>
      </c>
      <c r="E146" s="26" t="s">
        <v>1323</v>
      </c>
      <c r="G146" s="28"/>
      <c r="K146" s="29" t="str">
        <f t="shared" si="11"/>
        <v>Meter3</v>
      </c>
      <c r="L146" s="29" t="str">
        <f t="shared" si="12"/>
        <v>kw1</v>
      </c>
    </row>
    <row r="147" spans="1:12" s="27" customFormat="1" hidden="1" x14ac:dyDescent="0.25">
      <c r="A147" s="25">
        <v>137</v>
      </c>
      <c r="B147" s="26" t="s">
        <v>280</v>
      </c>
      <c r="C147" s="25" t="s">
        <v>281</v>
      </c>
      <c r="D147" s="25" t="s">
        <v>35</v>
      </c>
      <c r="E147" s="26" t="s">
        <v>1324</v>
      </c>
      <c r="G147" s="28"/>
      <c r="K147" s="29" t="str">
        <f t="shared" si="11"/>
        <v>Meter3</v>
      </c>
      <c r="L147" s="29" t="str">
        <f t="shared" si="12"/>
        <v>kw2</v>
      </c>
    </row>
    <row r="148" spans="1:12" s="27" customFormat="1" hidden="1" x14ac:dyDescent="0.25">
      <c r="A148" s="25">
        <v>138</v>
      </c>
      <c r="B148" s="26" t="s">
        <v>282</v>
      </c>
      <c r="C148" s="25" t="s">
        <v>283</v>
      </c>
      <c r="D148" s="25" t="s">
        <v>35</v>
      </c>
      <c r="E148" s="26" t="s">
        <v>1325</v>
      </c>
      <c r="G148" s="28"/>
      <c r="K148" s="29" t="str">
        <f t="shared" si="11"/>
        <v>Meter3</v>
      </c>
      <c r="L148" s="29" t="str">
        <f t="shared" si="12"/>
        <v>kw3</v>
      </c>
    </row>
    <row r="149" spans="1:12" s="27" customFormat="1" hidden="1" x14ac:dyDescent="0.25">
      <c r="A149" s="25">
        <v>139</v>
      </c>
      <c r="B149" s="26" t="s">
        <v>284</v>
      </c>
      <c r="C149" s="25" t="s">
        <v>285</v>
      </c>
      <c r="D149" s="25" t="s">
        <v>35</v>
      </c>
      <c r="E149" s="26" t="s">
        <v>1326</v>
      </c>
      <c r="G149" s="28"/>
      <c r="K149" s="29" t="str">
        <f t="shared" si="11"/>
        <v>Meter3</v>
      </c>
      <c r="L149" s="29" t="str">
        <f t="shared" si="12"/>
        <v>kva1</v>
      </c>
    </row>
    <row r="150" spans="1:12" s="27" customFormat="1" hidden="1" x14ac:dyDescent="0.25">
      <c r="A150" s="25">
        <v>140</v>
      </c>
      <c r="B150" s="26" t="s">
        <v>286</v>
      </c>
      <c r="C150" s="25" t="s">
        <v>287</v>
      </c>
      <c r="D150" s="25" t="s">
        <v>35</v>
      </c>
      <c r="E150" s="26" t="s">
        <v>1327</v>
      </c>
      <c r="G150" s="28"/>
      <c r="K150" s="29" t="str">
        <f t="shared" si="11"/>
        <v>Meter3</v>
      </c>
      <c r="L150" s="29" t="str">
        <f t="shared" si="12"/>
        <v>kva2</v>
      </c>
    </row>
    <row r="151" spans="1:12" s="27" customFormat="1" hidden="1" x14ac:dyDescent="0.25">
      <c r="A151" s="25">
        <v>141</v>
      </c>
      <c r="B151" s="26" t="s">
        <v>288</v>
      </c>
      <c r="C151" s="25" t="s">
        <v>289</v>
      </c>
      <c r="D151" s="25" t="s">
        <v>35</v>
      </c>
      <c r="E151" s="26" t="s">
        <v>1328</v>
      </c>
      <c r="G151" s="28"/>
      <c r="K151" s="29" t="str">
        <f t="shared" si="11"/>
        <v>Meter3</v>
      </c>
      <c r="L151" s="29" t="str">
        <f t="shared" si="12"/>
        <v>kva3</v>
      </c>
    </row>
    <row r="152" spans="1:12" s="27" customFormat="1" hidden="1" x14ac:dyDescent="0.25">
      <c r="A152" s="25">
        <v>142</v>
      </c>
      <c r="B152" s="26" t="s">
        <v>290</v>
      </c>
      <c r="C152" s="25" t="s">
        <v>291</v>
      </c>
      <c r="D152" s="25" t="s">
        <v>35</v>
      </c>
      <c r="E152" s="26" t="s">
        <v>1329</v>
      </c>
      <c r="G152" s="28"/>
      <c r="K152" s="29" t="str">
        <f t="shared" si="11"/>
        <v>Meter3</v>
      </c>
      <c r="L152" s="29" t="str">
        <f t="shared" si="12"/>
        <v>kvar1</v>
      </c>
    </row>
    <row r="153" spans="1:12" s="27" customFormat="1" hidden="1" x14ac:dyDescent="0.25">
      <c r="A153" s="25">
        <v>143</v>
      </c>
      <c r="B153" s="26" t="s">
        <v>292</v>
      </c>
      <c r="C153" s="25" t="s">
        <v>293</v>
      </c>
      <c r="D153" s="25" t="s">
        <v>35</v>
      </c>
      <c r="E153" s="26" t="s">
        <v>1330</v>
      </c>
      <c r="G153" s="28"/>
      <c r="K153" s="29" t="str">
        <f t="shared" si="11"/>
        <v>Meter3</v>
      </c>
      <c r="L153" s="29" t="str">
        <f t="shared" si="12"/>
        <v>kvar2</v>
      </c>
    </row>
    <row r="154" spans="1:12" s="27" customFormat="1" hidden="1" x14ac:dyDescent="0.25">
      <c r="A154" s="25">
        <v>144</v>
      </c>
      <c r="B154" s="26" t="s">
        <v>294</v>
      </c>
      <c r="C154" s="25" t="s">
        <v>295</v>
      </c>
      <c r="D154" s="25" t="s">
        <v>35</v>
      </c>
      <c r="E154" s="26" t="s">
        <v>1331</v>
      </c>
      <c r="G154" s="28"/>
      <c r="K154" s="29" t="str">
        <f t="shared" si="11"/>
        <v>Meter3</v>
      </c>
      <c r="L154" s="29" t="str">
        <f t="shared" si="12"/>
        <v>kvar3</v>
      </c>
    </row>
    <row r="155" spans="1:12" s="27" customFormat="1" hidden="1" x14ac:dyDescent="0.25">
      <c r="A155" s="25">
        <v>145</v>
      </c>
      <c r="B155" s="26" t="s">
        <v>296</v>
      </c>
      <c r="C155" s="25" t="s">
        <v>297</v>
      </c>
      <c r="D155" s="25" t="s">
        <v>35</v>
      </c>
      <c r="E155" s="26" t="s">
        <v>1332</v>
      </c>
      <c r="G155" s="28"/>
      <c r="H155" s="27" t="s">
        <v>1482</v>
      </c>
      <c r="K155" s="29" t="str">
        <f t="shared" si="11"/>
        <v>Meter3</v>
      </c>
      <c r="L155" s="29" t="str">
        <f t="shared" si="12"/>
        <v>total_kw</v>
      </c>
    </row>
    <row r="156" spans="1:12" s="27" customFormat="1" hidden="1" x14ac:dyDescent="0.25">
      <c r="A156" s="25">
        <v>146</v>
      </c>
      <c r="B156" s="26" t="s">
        <v>298</v>
      </c>
      <c r="C156" s="25" t="s">
        <v>299</v>
      </c>
      <c r="D156" s="25" t="s">
        <v>35</v>
      </c>
      <c r="E156" s="26" t="s">
        <v>1333</v>
      </c>
      <c r="G156" s="28"/>
      <c r="K156" s="29" t="str">
        <f t="shared" si="11"/>
        <v>Meter3</v>
      </c>
      <c r="L156" s="29" t="str">
        <f t="shared" si="12"/>
        <v>total_kva</v>
      </c>
    </row>
    <row r="157" spans="1:12" s="27" customFormat="1" hidden="1" x14ac:dyDescent="0.25">
      <c r="A157" s="25">
        <v>147</v>
      </c>
      <c r="B157" s="26" t="s">
        <v>300</v>
      </c>
      <c r="C157" s="25" t="s">
        <v>301</v>
      </c>
      <c r="D157" s="25" t="s">
        <v>35</v>
      </c>
      <c r="E157" s="26" t="s">
        <v>1334</v>
      </c>
      <c r="G157" s="28"/>
      <c r="K157" s="29" t="str">
        <f t="shared" si="11"/>
        <v>Meter3</v>
      </c>
      <c r="L157" s="29" t="str">
        <f t="shared" si="12"/>
        <v>total_kvar</v>
      </c>
    </row>
    <row r="158" spans="1:12" s="27" customFormat="1" hidden="1" x14ac:dyDescent="0.25">
      <c r="A158" s="25">
        <v>148</v>
      </c>
      <c r="B158" s="26" t="s">
        <v>302</v>
      </c>
      <c r="C158" s="25" t="s">
        <v>303</v>
      </c>
      <c r="D158" s="25" t="s">
        <v>35</v>
      </c>
      <c r="E158" s="26" t="s">
        <v>1335</v>
      </c>
      <c r="G158" s="28"/>
      <c r="K158" s="29" t="str">
        <f t="shared" si="11"/>
        <v>Meter3</v>
      </c>
      <c r="L158" s="29" t="str">
        <f t="shared" si="12"/>
        <v>PF1</v>
      </c>
    </row>
    <row r="159" spans="1:12" s="27" customFormat="1" hidden="1" x14ac:dyDescent="0.25">
      <c r="A159" s="25">
        <v>149</v>
      </c>
      <c r="B159" s="26" t="s">
        <v>304</v>
      </c>
      <c r="C159" s="25" t="s">
        <v>305</v>
      </c>
      <c r="D159" s="25" t="s">
        <v>35</v>
      </c>
      <c r="E159" s="26" t="s">
        <v>1336</v>
      </c>
      <c r="G159" s="28"/>
      <c r="K159" s="29" t="str">
        <f t="shared" si="11"/>
        <v>Meter3</v>
      </c>
      <c r="L159" s="29" t="str">
        <f t="shared" si="12"/>
        <v>PF2</v>
      </c>
    </row>
    <row r="160" spans="1:12" s="27" customFormat="1" hidden="1" x14ac:dyDescent="0.25">
      <c r="A160" s="25">
        <v>150</v>
      </c>
      <c r="B160" s="26" t="s">
        <v>306</v>
      </c>
      <c r="C160" s="25" t="s">
        <v>307</v>
      </c>
      <c r="D160" s="25" t="s">
        <v>35</v>
      </c>
      <c r="E160" s="26" t="s">
        <v>1337</v>
      </c>
      <c r="G160" s="28"/>
      <c r="K160" s="29" t="str">
        <f t="shared" si="11"/>
        <v>Meter3</v>
      </c>
      <c r="L160" s="29" t="str">
        <f t="shared" si="12"/>
        <v>PF3</v>
      </c>
    </row>
    <row r="161" spans="1:12" s="27" customFormat="1" hidden="1" x14ac:dyDescent="0.25">
      <c r="A161" s="25">
        <v>151</v>
      </c>
      <c r="B161" s="26" t="s">
        <v>308</v>
      </c>
      <c r="C161" s="25" t="s">
        <v>309</v>
      </c>
      <c r="D161" s="25" t="s">
        <v>35</v>
      </c>
      <c r="E161" s="26" t="s">
        <v>1338</v>
      </c>
      <c r="G161" s="28"/>
      <c r="H161" s="27" t="s">
        <v>1405</v>
      </c>
      <c r="K161" s="29" t="str">
        <f t="shared" si="11"/>
        <v>Meter3</v>
      </c>
      <c r="L161" s="29" t="str">
        <f t="shared" si="12"/>
        <v>PF</v>
      </c>
    </row>
    <row r="162" spans="1:12" s="27" customFormat="1" hidden="1" x14ac:dyDescent="0.25">
      <c r="A162" s="25">
        <v>152</v>
      </c>
      <c r="B162" s="26" t="s">
        <v>310</v>
      </c>
      <c r="C162" s="25" t="s">
        <v>311</v>
      </c>
      <c r="D162" s="25" t="s">
        <v>35</v>
      </c>
      <c r="E162" s="26" t="s">
        <v>1339</v>
      </c>
      <c r="G162" s="28"/>
      <c r="H162" s="27" t="s">
        <v>1339</v>
      </c>
      <c r="K162" s="29" t="str">
        <f t="shared" si="11"/>
        <v>Meter3</v>
      </c>
      <c r="L162" s="29" t="str">
        <f t="shared" si="12"/>
        <v>freq</v>
      </c>
    </row>
    <row r="163" spans="1:12" s="27" customFormat="1" hidden="1" x14ac:dyDescent="0.25">
      <c r="A163" s="25">
        <v>153</v>
      </c>
      <c r="B163" s="26" t="s">
        <v>312</v>
      </c>
      <c r="C163" s="25" t="s">
        <v>313</v>
      </c>
      <c r="D163" s="25" t="s">
        <v>35</v>
      </c>
      <c r="E163" s="26" t="s">
        <v>1340</v>
      </c>
      <c r="G163" s="28"/>
      <c r="H163" s="27" t="s">
        <v>1340</v>
      </c>
      <c r="K163" s="29" t="str">
        <f t="shared" si="11"/>
        <v>Meter3</v>
      </c>
      <c r="L163" s="29" t="str">
        <f t="shared" si="12"/>
        <v>kwh</v>
      </c>
    </row>
    <row r="164" spans="1:12" s="27" customFormat="1" hidden="1" x14ac:dyDescent="0.25">
      <c r="A164" s="25">
        <v>154</v>
      </c>
      <c r="B164" s="26" t="s">
        <v>314</v>
      </c>
      <c r="C164" s="25" t="s">
        <v>315</v>
      </c>
      <c r="D164" s="25" t="s">
        <v>35</v>
      </c>
      <c r="E164" s="26" t="s">
        <v>1341</v>
      </c>
      <c r="G164" s="28"/>
      <c r="K164" s="29" t="str">
        <f t="shared" si="11"/>
        <v>Meter3</v>
      </c>
      <c r="L164" s="29" t="str">
        <f t="shared" si="12"/>
        <v>kvah</v>
      </c>
    </row>
    <row r="165" spans="1:12" s="27" customFormat="1" hidden="1" x14ac:dyDescent="0.25">
      <c r="A165" s="25">
        <v>155</v>
      </c>
      <c r="B165" s="26" t="s">
        <v>316</v>
      </c>
      <c r="C165" s="25" t="s">
        <v>317</v>
      </c>
      <c r="D165" s="25" t="s">
        <v>35</v>
      </c>
      <c r="E165" s="26" t="s">
        <v>1342</v>
      </c>
      <c r="G165" s="28"/>
      <c r="K165" s="29" t="str">
        <f t="shared" si="11"/>
        <v>Meter3</v>
      </c>
      <c r="L165" s="29" t="str">
        <f t="shared" si="12"/>
        <v>kvarh</v>
      </c>
    </row>
    <row r="166" spans="1:12" s="27" customFormat="1" hidden="1" x14ac:dyDescent="0.25">
      <c r="A166" s="25">
        <v>156</v>
      </c>
      <c r="B166" s="26" t="s">
        <v>318</v>
      </c>
      <c r="C166" s="25" t="s">
        <v>319</v>
      </c>
      <c r="D166" s="25" t="s">
        <v>7</v>
      </c>
      <c r="E166" s="26" t="s">
        <v>1343</v>
      </c>
      <c r="G166" s="28"/>
      <c r="K166" s="29" t="str">
        <f t="shared" si="11"/>
        <v>Pump3</v>
      </c>
      <c r="L166" s="29" t="str">
        <f t="shared" si="12"/>
        <v>Ctrl_run_Pump</v>
      </c>
    </row>
    <row r="167" spans="1:12" s="27" customFormat="1" hidden="1" x14ac:dyDescent="0.25">
      <c r="A167" s="25">
        <v>157</v>
      </c>
      <c r="B167" s="26" t="s">
        <v>320</v>
      </c>
      <c r="C167" s="25" t="s">
        <v>321</v>
      </c>
      <c r="D167" s="25" t="s">
        <v>7</v>
      </c>
      <c r="E167" s="26" t="s">
        <v>1354</v>
      </c>
      <c r="G167" s="28"/>
      <c r="H167" s="27" t="s">
        <v>1496</v>
      </c>
      <c r="K167" s="29" t="str">
        <f t="shared" si="11"/>
        <v>Pump3</v>
      </c>
      <c r="L167" s="29" t="str">
        <f t="shared" si="12"/>
        <v>FB_Fault</v>
      </c>
    </row>
    <row r="168" spans="1:12" s="27" customFormat="1" hidden="1" x14ac:dyDescent="0.25">
      <c r="A168" s="25">
        <v>158</v>
      </c>
      <c r="B168" s="26" t="s">
        <v>322</v>
      </c>
      <c r="C168" s="25" t="s">
        <v>323</v>
      </c>
      <c r="D168" s="25" t="s">
        <v>7</v>
      </c>
      <c r="E168" s="26" t="s">
        <v>1344</v>
      </c>
      <c r="G168" s="28"/>
      <c r="K168" s="29" t="str">
        <f t="shared" si="11"/>
        <v>Pump3</v>
      </c>
      <c r="L168" s="29" t="str">
        <f t="shared" si="12"/>
        <v>Ctrl_PB_Run</v>
      </c>
    </row>
    <row r="169" spans="1:12" s="27" customFormat="1" hidden="1" x14ac:dyDescent="0.25">
      <c r="A169" s="25">
        <v>159</v>
      </c>
      <c r="B169" s="26" t="s">
        <v>324</v>
      </c>
      <c r="C169" s="25" t="s">
        <v>325</v>
      </c>
      <c r="D169" s="25" t="s">
        <v>7</v>
      </c>
      <c r="E169" s="26" t="s">
        <v>1345</v>
      </c>
      <c r="G169" s="28"/>
      <c r="K169" s="29" t="str">
        <f t="shared" si="11"/>
        <v>Pump3</v>
      </c>
      <c r="L169" s="29" t="str">
        <f t="shared" si="12"/>
        <v>Ctrl_PB_Stop</v>
      </c>
    </row>
    <row r="170" spans="1:12" s="27" customFormat="1" hidden="1" x14ac:dyDescent="0.25">
      <c r="A170" s="25">
        <v>160</v>
      </c>
      <c r="B170" s="26" t="s">
        <v>326</v>
      </c>
      <c r="C170" s="25" t="s">
        <v>327</v>
      </c>
      <c r="D170" s="25" t="s">
        <v>7</v>
      </c>
      <c r="E170" s="26" t="s">
        <v>1346</v>
      </c>
      <c r="G170" s="28"/>
      <c r="K170" s="29" t="str">
        <f t="shared" si="11"/>
        <v>Pump3</v>
      </c>
      <c r="L170" s="29" t="str">
        <f t="shared" si="12"/>
        <v>Ctrl_PB_RST</v>
      </c>
    </row>
    <row r="171" spans="1:12" s="30" customFormat="1" hidden="1" x14ac:dyDescent="0.25">
      <c r="A171" s="23">
        <v>50</v>
      </c>
      <c r="B171" s="24" t="s">
        <v>1568</v>
      </c>
      <c r="C171" s="23" t="s">
        <v>1582</v>
      </c>
      <c r="D171" s="23" t="s">
        <v>7</v>
      </c>
      <c r="E171" s="24" t="s">
        <v>1558</v>
      </c>
      <c r="G171" s="28"/>
      <c r="K171" s="31" t="str">
        <f t="shared" si="11"/>
        <v>Pump3</v>
      </c>
      <c r="L171" s="31" t="str">
        <f t="shared" si="12"/>
        <v>Ctrl_PB_Maintenance</v>
      </c>
    </row>
    <row r="172" spans="1:12" s="30" customFormat="1" hidden="1" x14ac:dyDescent="0.25">
      <c r="A172" s="23">
        <v>50</v>
      </c>
      <c r="B172" s="24" t="s">
        <v>1569</v>
      </c>
      <c r="C172" s="23" t="s">
        <v>1583</v>
      </c>
      <c r="D172" s="23" t="s">
        <v>7</v>
      </c>
      <c r="E172" s="24" t="s">
        <v>1559</v>
      </c>
      <c r="G172" s="28"/>
      <c r="H172" s="30" t="s">
        <v>1563</v>
      </c>
      <c r="K172" s="31" t="str">
        <f t="shared" si="11"/>
        <v>Pump3</v>
      </c>
      <c r="L172" s="31" t="str">
        <f t="shared" si="12"/>
        <v>FB_Maintenance</v>
      </c>
    </row>
    <row r="173" spans="1:12" s="27" customFormat="1" hidden="1" x14ac:dyDescent="0.25">
      <c r="A173" s="25">
        <v>161</v>
      </c>
      <c r="B173" s="26" t="s">
        <v>328</v>
      </c>
      <c r="C173" s="25" t="s">
        <v>329</v>
      </c>
      <c r="D173" s="25" t="s">
        <v>24</v>
      </c>
      <c r="E173" s="26" t="s">
        <v>1347</v>
      </c>
      <c r="G173" s="28"/>
      <c r="H173" s="27" t="s">
        <v>1518</v>
      </c>
      <c r="K173" s="29" t="str">
        <f t="shared" si="11"/>
        <v>Pump3</v>
      </c>
      <c r="L173" s="29" t="str">
        <f t="shared" si="12"/>
        <v>Time_Run_M</v>
      </c>
    </row>
    <row r="174" spans="1:12" s="27" customFormat="1" hidden="1" x14ac:dyDescent="0.25">
      <c r="A174" s="25">
        <v>162</v>
      </c>
      <c r="B174" s="26" t="s">
        <v>330</v>
      </c>
      <c r="C174" s="25" t="s">
        <v>331</v>
      </c>
      <c r="D174" s="25" t="s">
        <v>24</v>
      </c>
      <c r="E174" s="26" t="s">
        <v>1348</v>
      </c>
      <c r="G174" s="28"/>
      <c r="H174" s="27" t="s">
        <v>1518</v>
      </c>
      <c r="K174" s="29" t="str">
        <f t="shared" si="11"/>
        <v>Pump3</v>
      </c>
      <c r="L174" s="29" t="str">
        <f t="shared" si="12"/>
        <v>Time_Run_H</v>
      </c>
    </row>
    <row r="175" spans="1:12" s="27" customFormat="1" hidden="1" x14ac:dyDescent="0.25">
      <c r="A175" s="25">
        <v>163</v>
      </c>
      <c r="B175" s="26" t="s">
        <v>332</v>
      </c>
      <c r="C175" s="25" t="s">
        <v>333</v>
      </c>
      <c r="D175" s="25" t="s">
        <v>24</v>
      </c>
      <c r="E175" s="26" t="s">
        <v>1349</v>
      </c>
      <c r="G175" s="28"/>
      <c r="H175" s="27" t="s">
        <v>1517</v>
      </c>
      <c r="K175" s="29" t="str">
        <f t="shared" si="11"/>
        <v>Pump3</v>
      </c>
      <c r="L175" s="29" t="str">
        <f t="shared" si="12"/>
        <v>Total_Time_Run_M</v>
      </c>
    </row>
    <row r="176" spans="1:12" s="27" customFormat="1" hidden="1" x14ac:dyDescent="0.25">
      <c r="A176" s="25">
        <v>164</v>
      </c>
      <c r="B176" s="26" t="s">
        <v>334</v>
      </c>
      <c r="C176" s="25" t="s">
        <v>335</v>
      </c>
      <c r="D176" s="25" t="s">
        <v>24</v>
      </c>
      <c r="E176" s="26" t="s">
        <v>1350</v>
      </c>
      <c r="G176" s="28"/>
      <c r="H176" s="27" t="s">
        <v>1517</v>
      </c>
      <c r="K176" s="29" t="str">
        <f t="shared" si="11"/>
        <v>Pump3</v>
      </c>
      <c r="L176" s="29" t="str">
        <f t="shared" si="12"/>
        <v>Total_Time_Run_H</v>
      </c>
    </row>
    <row r="177" spans="1:12" s="27" customFormat="1" hidden="1" x14ac:dyDescent="0.25">
      <c r="A177" s="25">
        <v>165</v>
      </c>
      <c r="B177" s="26" t="s">
        <v>336</v>
      </c>
      <c r="C177" s="25" t="s">
        <v>337</v>
      </c>
      <c r="D177" s="25" t="s">
        <v>24</v>
      </c>
      <c r="E177" s="26" t="s">
        <v>1351</v>
      </c>
      <c r="G177" s="28"/>
      <c r="K177" s="29" t="str">
        <f t="shared" si="11"/>
        <v>Pump3</v>
      </c>
      <c r="L177" s="29" t="str">
        <f t="shared" si="12"/>
        <v>NumberOfclose</v>
      </c>
    </row>
    <row r="178" spans="1:12" s="27" customFormat="1" hidden="1" x14ac:dyDescent="0.25">
      <c r="A178" s="25">
        <v>166</v>
      </c>
      <c r="B178" s="26" t="s">
        <v>338</v>
      </c>
      <c r="C178" s="25" t="s">
        <v>339</v>
      </c>
      <c r="D178" s="25" t="s">
        <v>7</v>
      </c>
      <c r="E178" s="26" t="s">
        <v>1355</v>
      </c>
      <c r="G178" s="28" t="s">
        <v>1529</v>
      </c>
      <c r="K178" s="29" t="str">
        <f t="shared" si="11"/>
        <v>Pump4</v>
      </c>
      <c r="L178" s="29" t="str">
        <f t="shared" si="12"/>
        <v>FB_auto</v>
      </c>
    </row>
    <row r="179" spans="1:12" s="27" customFormat="1" hidden="1" x14ac:dyDescent="0.25">
      <c r="A179" s="25">
        <v>167</v>
      </c>
      <c r="B179" s="26" t="s">
        <v>340</v>
      </c>
      <c r="C179" s="25" t="s">
        <v>341</v>
      </c>
      <c r="D179" s="25" t="s">
        <v>7</v>
      </c>
      <c r="E179" s="26" t="s">
        <v>1306</v>
      </c>
      <c r="G179" s="28"/>
      <c r="H179" s="27" t="s">
        <v>1505</v>
      </c>
      <c r="K179" s="29" t="str">
        <f t="shared" si="11"/>
        <v>Pump4</v>
      </c>
      <c r="L179" s="29" t="str">
        <f t="shared" si="12"/>
        <v>FB_Run</v>
      </c>
    </row>
    <row r="180" spans="1:12" s="27" customFormat="1" hidden="1" x14ac:dyDescent="0.25">
      <c r="A180" s="25">
        <v>168</v>
      </c>
      <c r="B180" s="26" t="s">
        <v>342</v>
      </c>
      <c r="C180" s="25" t="s">
        <v>343</v>
      </c>
      <c r="D180" s="25" t="s">
        <v>7</v>
      </c>
      <c r="E180" s="26" t="s">
        <v>1307</v>
      </c>
      <c r="G180" s="28"/>
      <c r="K180" s="29" t="str">
        <f t="shared" si="11"/>
        <v>Pump4</v>
      </c>
      <c r="L180" s="29" t="str">
        <f t="shared" si="12"/>
        <v>FB_Fault_V</v>
      </c>
    </row>
    <row r="181" spans="1:12" s="27" customFormat="1" hidden="1" x14ac:dyDescent="0.25">
      <c r="A181" s="25">
        <v>169</v>
      </c>
      <c r="B181" s="26" t="s">
        <v>344</v>
      </c>
      <c r="C181" s="25" t="s">
        <v>345</v>
      </c>
      <c r="D181" s="25" t="s">
        <v>7</v>
      </c>
      <c r="E181" s="26" t="s">
        <v>1307</v>
      </c>
      <c r="G181" s="28"/>
      <c r="K181" s="29" t="str">
        <f t="shared" si="11"/>
        <v>Pump4</v>
      </c>
      <c r="L181" s="29" t="str">
        <f t="shared" si="12"/>
        <v>FB_Fault_SS</v>
      </c>
    </row>
    <row r="182" spans="1:12" s="27" customFormat="1" hidden="1" x14ac:dyDescent="0.25">
      <c r="A182" s="25">
        <v>170</v>
      </c>
      <c r="B182" s="26" t="s">
        <v>346</v>
      </c>
      <c r="C182" s="25" t="s">
        <v>347</v>
      </c>
      <c r="D182" s="25" t="s">
        <v>7</v>
      </c>
      <c r="E182" s="26" t="s">
        <v>1356</v>
      </c>
      <c r="G182" s="28"/>
      <c r="K182" s="29" t="str">
        <f t="shared" si="11"/>
        <v>Pump4</v>
      </c>
      <c r="L182" s="29" t="str">
        <f t="shared" si="12"/>
        <v>FB_Fault_Temp</v>
      </c>
    </row>
    <row r="183" spans="1:12" s="27" customFormat="1" hidden="1" x14ac:dyDescent="0.25">
      <c r="A183" s="25">
        <v>171</v>
      </c>
      <c r="B183" s="26" t="s">
        <v>348</v>
      </c>
      <c r="C183" s="25" t="s">
        <v>349</v>
      </c>
      <c r="D183" s="25" t="s">
        <v>7</v>
      </c>
      <c r="E183" s="26" t="s">
        <v>1307</v>
      </c>
      <c r="G183" s="28"/>
      <c r="K183" s="29" t="str">
        <f t="shared" si="11"/>
        <v>Pump4</v>
      </c>
      <c r="L183" s="29" t="str">
        <f t="shared" si="12"/>
        <v>FB_Fault_Curent</v>
      </c>
    </row>
    <row r="184" spans="1:12" s="27" customFormat="1" hidden="1" x14ac:dyDescent="0.25">
      <c r="A184" s="25">
        <v>172</v>
      </c>
      <c r="B184" s="26" t="s">
        <v>350</v>
      </c>
      <c r="C184" s="25" t="s">
        <v>351</v>
      </c>
      <c r="D184" s="25" t="s">
        <v>7</v>
      </c>
      <c r="E184" s="26" t="s">
        <v>1357</v>
      </c>
      <c r="G184" s="28"/>
      <c r="K184" s="29" t="str">
        <f t="shared" si="11"/>
        <v>Pump4</v>
      </c>
      <c r="L184" s="29" t="str">
        <f t="shared" si="12"/>
        <v>Clock_1m</v>
      </c>
    </row>
    <row r="185" spans="1:12" s="30" customFormat="1" x14ac:dyDescent="0.25">
      <c r="A185" s="23">
        <v>173</v>
      </c>
      <c r="B185" s="24" t="s">
        <v>1541</v>
      </c>
      <c r="C185" s="23" t="s">
        <v>353</v>
      </c>
      <c r="D185" s="23" t="s">
        <v>7</v>
      </c>
      <c r="E185" s="24" t="s">
        <v>1358</v>
      </c>
      <c r="G185" s="28"/>
      <c r="H185" s="17" t="s">
        <v>1524</v>
      </c>
      <c r="K185" s="31" t="str">
        <f t="shared" si="11"/>
        <v>Pump4</v>
      </c>
      <c r="L185" s="31" t="str">
        <f t="shared" si="12"/>
        <v>FB_ON_MCCB</v>
      </c>
    </row>
    <row r="186" spans="1:12" s="30" customFormat="1" hidden="1" x14ac:dyDescent="0.25">
      <c r="A186" s="23">
        <v>8</v>
      </c>
      <c r="B186" s="32" t="s">
        <v>1542</v>
      </c>
      <c r="C186" s="23" t="s">
        <v>1534</v>
      </c>
      <c r="D186" s="23" t="s">
        <v>7</v>
      </c>
      <c r="E186" s="24" t="s">
        <v>1393</v>
      </c>
      <c r="G186" s="28"/>
      <c r="H186" s="30" t="s">
        <v>1495</v>
      </c>
      <c r="K186" s="31" t="str">
        <f t="shared" si="11"/>
        <v>Pump4</v>
      </c>
      <c r="L186" s="31" t="str">
        <f t="shared" si="12"/>
        <v>FB_Stop</v>
      </c>
    </row>
    <row r="187" spans="1:12" s="27" customFormat="1" hidden="1" x14ac:dyDescent="0.25">
      <c r="A187" s="25">
        <v>174</v>
      </c>
      <c r="B187" s="26" t="s">
        <v>354</v>
      </c>
      <c r="C187" s="25" t="s">
        <v>355</v>
      </c>
      <c r="D187" s="25" t="s">
        <v>24</v>
      </c>
      <c r="E187" s="26" t="s">
        <v>1352</v>
      </c>
      <c r="G187" s="28"/>
      <c r="H187" s="27" t="s">
        <v>1514</v>
      </c>
      <c r="K187" s="29" t="str">
        <f t="shared" si="11"/>
        <v>Pump4</v>
      </c>
      <c r="L187" s="29" t="str">
        <f t="shared" si="12"/>
        <v>FB_Temp_DEBearing</v>
      </c>
    </row>
    <row r="188" spans="1:12" s="27" customFormat="1" hidden="1" x14ac:dyDescent="0.25">
      <c r="A188" s="25">
        <v>175</v>
      </c>
      <c r="B188" s="26" t="s">
        <v>356</v>
      </c>
      <c r="C188" s="25" t="s">
        <v>357</v>
      </c>
      <c r="D188" s="25" t="s">
        <v>24</v>
      </c>
      <c r="E188" s="26" t="s">
        <v>1353</v>
      </c>
      <c r="G188" s="28"/>
      <c r="H188" s="27" t="s">
        <v>1515</v>
      </c>
      <c r="K188" s="29" t="str">
        <f t="shared" si="11"/>
        <v>Pump4</v>
      </c>
      <c r="L188" s="29" t="str">
        <f t="shared" si="12"/>
        <v>FB_Temp_NDEBearing</v>
      </c>
    </row>
    <row r="189" spans="1:12" s="27" customFormat="1" hidden="1" x14ac:dyDescent="0.25">
      <c r="A189" s="25">
        <v>176</v>
      </c>
      <c r="B189" s="26" t="s">
        <v>358</v>
      </c>
      <c r="C189" s="25" t="s">
        <v>359</v>
      </c>
      <c r="D189" s="25" t="s">
        <v>24</v>
      </c>
      <c r="E189" s="26" t="s">
        <v>1308</v>
      </c>
      <c r="G189" s="28"/>
      <c r="H189" s="27" t="s">
        <v>1511</v>
      </c>
      <c r="K189" s="29" t="str">
        <f t="shared" si="11"/>
        <v>Pump4</v>
      </c>
      <c r="L189" s="29" t="str">
        <f t="shared" si="12"/>
        <v>FB_Temp_PhaseA</v>
      </c>
    </row>
    <row r="190" spans="1:12" s="27" customFormat="1" hidden="1" x14ac:dyDescent="0.25">
      <c r="A190" s="25">
        <v>177</v>
      </c>
      <c r="B190" s="26" t="s">
        <v>360</v>
      </c>
      <c r="C190" s="25" t="s">
        <v>361</v>
      </c>
      <c r="D190" s="25" t="s">
        <v>24</v>
      </c>
      <c r="E190" s="26" t="s">
        <v>1309</v>
      </c>
      <c r="G190" s="28"/>
      <c r="H190" s="27" t="s">
        <v>1512</v>
      </c>
      <c r="K190" s="29" t="str">
        <f t="shared" si="11"/>
        <v>Pump4</v>
      </c>
      <c r="L190" s="29" t="str">
        <f t="shared" si="12"/>
        <v>FB_Temp_PhaseB</v>
      </c>
    </row>
    <row r="191" spans="1:12" s="27" customFormat="1" hidden="1" x14ac:dyDescent="0.25">
      <c r="A191" s="25">
        <v>178</v>
      </c>
      <c r="B191" s="26" t="s">
        <v>362</v>
      </c>
      <c r="C191" s="25" t="s">
        <v>363</v>
      </c>
      <c r="D191" s="25" t="s">
        <v>24</v>
      </c>
      <c r="E191" s="26" t="s">
        <v>1310</v>
      </c>
      <c r="G191" s="28"/>
      <c r="H191" s="27" t="s">
        <v>1513</v>
      </c>
      <c r="K191" s="29" t="str">
        <f t="shared" si="11"/>
        <v>Pump4</v>
      </c>
      <c r="L191" s="29" t="str">
        <f t="shared" si="12"/>
        <v>FB_Temp_PhaseC</v>
      </c>
    </row>
    <row r="192" spans="1:12" s="27" customFormat="1" hidden="1" x14ac:dyDescent="0.25">
      <c r="A192" s="25">
        <v>179</v>
      </c>
      <c r="B192" s="26" t="s">
        <v>364</v>
      </c>
      <c r="C192" s="25" t="s">
        <v>365</v>
      </c>
      <c r="D192" s="25" t="s">
        <v>35</v>
      </c>
      <c r="E192" s="26" t="s">
        <v>1315</v>
      </c>
      <c r="G192" s="28"/>
      <c r="K192" s="29" t="str">
        <f t="shared" si="11"/>
        <v>Meter4</v>
      </c>
      <c r="L192" s="29" t="str">
        <f t="shared" si="12"/>
        <v>U1</v>
      </c>
    </row>
    <row r="193" spans="1:12" s="27" customFormat="1" hidden="1" x14ac:dyDescent="0.25">
      <c r="A193" s="25">
        <v>180</v>
      </c>
      <c r="B193" s="26" t="s">
        <v>366</v>
      </c>
      <c r="C193" s="25" t="s">
        <v>367</v>
      </c>
      <c r="D193" s="25" t="s">
        <v>35</v>
      </c>
      <c r="E193" s="26" t="s">
        <v>1316</v>
      </c>
      <c r="G193" s="28"/>
      <c r="K193" s="29" t="str">
        <f t="shared" si="11"/>
        <v>Meter4</v>
      </c>
      <c r="L193" s="29" t="str">
        <f t="shared" si="12"/>
        <v>U2</v>
      </c>
    </row>
    <row r="194" spans="1:12" s="27" customFormat="1" hidden="1" x14ac:dyDescent="0.25">
      <c r="A194" s="25">
        <v>181</v>
      </c>
      <c r="B194" s="26" t="s">
        <v>368</v>
      </c>
      <c r="C194" s="25" t="s">
        <v>369</v>
      </c>
      <c r="D194" s="25" t="s">
        <v>35</v>
      </c>
      <c r="E194" s="26" t="s">
        <v>1317</v>
      </c>
      <c r="G194" s="28"/>
      <c r="K194" s="29" t="str">
        <f t="shared" si="11"/>
        <v>Meter4</v>
      </c>
      <c r="L194" s="29" t="str">
        <f t="shared" si="12"/>
        <v>U3</v>
      </c>
    </row>
    <row r="195" spans="1:12" s="27" customFormat="1" hidden="1" x14ac:dyDescent="0.25">
      <c r="A195" s="25">
        <v>182</v>
      </c>
      <c r="B195" s="26" t="s">
        <v>370</v>
      </c>
      <c r="C195" s="25" t="s">
        <v>371</v>
      </c>
      <c r="D195" s="25" t="s">
        <v>35</v>
      </c>
      <c r="E195" s="26" t="s">
        <v>1318</v>
      </c>
      <c r="G195" s="28"/>
      <c r="K195" s="29" t="str">
        <f t="shared" si="11"/>
        <v>Meter4</v>
      </c>
      <c r="L195" s="29" t="str">
        <f t="shared" si="12"/>
        <v>U_Ph</v>
      </c>
    </row>
    <row r="196" spans="1:12" s="27" customFormat="1" hidden="1" x14ac:dyDescent="0.25">
      <c r="A196" s="25">
        <v>183</v>
      </c>
      <c r="B196" s="26" t="s">
        <v>372</v>
      </c>
      <c r="C196" s="25" t="s">
        <v>373</v>
      </c>
      <c r="D196" s="25" t="s">
        <v>35</v>
      </c>
      <c r="E196" s="26" t="s">
        <v>1319</v>
      </c>
      <c r="G196" s="28"/>
      <c r="H196" s="27" t="s">
        <v>1319</v>
      </c>
      <c r="K196" s="29" t="str">
        <f t="shared" si="11"/>
        <v>Meter4</v>
      </c>
      <c r="L196" s="29" t="str">
        <f t="shared" si="12"/>
        <v>U12</v>
      </c>
    </row>
    <row r="197" spans="1:12" s="27" customFormat="1" hidden="1" x14ac:dyDescent="0.25">
      <c r="A197" s="25">
        <v>184</v>
      </c>
      <c r="B197" s="26" t="s">
        <v>374</v>
      </c>
      <c r="C197" s="25" t="s">
        <v>375</v>
      </c>
      <c r="D197" s="25" t="s">
        <v>35</v>
      </c>
      <c r="E197" s="26" t="s">
        <v>1320</v>
      </c>
      <c r="G197" s="28"/>
      <c r="H197" s="27" t="s">
        <v>1320</v>
      </c>
      <c r="K197" s="29" t="str">
        <f t="shared" si="11"/>
        <v>Meter4</v>
      </c>
      <c r="L197" s="29" t="str">
        <f t="shared" si="12"/>
        <v>U23</v>
      </c>
    </row>
    <row r="198" spans="1:12" s="27" customFormat="1" hidden="1" x14ac:dyDescent="0.25">
      <c r="A198" s="25">
        <v>185</v>
      </c>
      <c r="B198" s="26" t="s">
        <v>376</v>
      </c>
      <c r="C198" s="25" t="s">
        <v>377</v>
      </c>
      <c r="D198" s="25" t="s">
        <v>35</v>
      </c>
      <c r="E198" s="26" t="s">
        <v>1321</v>
      </c>
      <c r="G198" s="28"/>
      <c r="H198" s="27" t="s">
        <v>1516</v>
      </c>
      <c r="K198" s="29" t="str">
        <f t="shared" si="11"/>
        <v>Meter4</v>
      </c>
      <c r="L198" s="29" t="str">
        <f t="shared" si="12"/>
        <v>U31</v>
      </c>
    </row>
    <row r="199" spans="1:12" s="27" customFormat="1" hidden="1" x14ac:dyDescent="0.25">
      <c r="A199" s="25">
        <v>186</v>
      </c>
      <c r="B199" s="26" t="s">
        <v>378</v>
      </c>
      <c r="C199" s="25" t="s">
        <v>379</v>
      </c>
      <c r="D199" s="25" t="s">
        <v>35</v>
      </c>
      <c r="E199" s="26" t="s">
        <v>1322</v>
      </c>
      <c r="G199" s="28"/>
      <c r="K199" s="29" t="str">
        <f t="shared" si="11"/>
        <v>Meter4</v>
      </c>
      <c r="L199" s="29" t="str">
        <f t="shared" si="12"/>
        <v>Uline</v>
      </c>
    </row>
    <row r="200" spans="1:12" s="27" customFormat="1" hidden="1" x14ac:dyDescent="0.25">
      <c r="A200" s="25">
        <v>187</v>
      </c>
      <c r="B200" s="26" t="s">
        <v>380</v>
      </c>
      <c r="C200" s="25" t="s">
        <v>381</v>
      </c>
      <c r="D200" s="25" t="s">
        <v>35</v>
      </c>
      <c r="E200" s="26" t="s">
        <v>1312</v>
      </c>
      <c r="G200" s="28"/>
      <c r="H200" s="29"/>
      <c r="K200" s="29" t="str">
        <f t="shared" si="11"/>
        <v>Meter4</v>
      </c>
      <c r="L200" s="29" t="str">
        <f t="shared" si="12"/>
        <v>I1</v>
      </c>
    </row>
    <row r="201" spans="1:12" s="27" customFormat="1" hidden="1" x14ac:dyDescent="0.25">
      <c r="A201" s="25">
        <v>188</v>
      </c>
      <c r="B201" s="26" t="s">
        <v>382</v>
      </c>
      <c r="C201" s="25" t="s">
        <v>383</v>
      </c>
      <c r="D201" s="25" t="s">
        <v>35</v>
      </c>
      <c r="E201" s="26" t="s">
        <v>1313</v>
      </c>
      <c r="G201" s="28"/>
      <c r="H201" s="29"/>
      <c r="K201" s="29" t="str">
        <f t="shared" si="11"/>
        <v>Meter4</v>
      </c>
      <c r="L201" s="29" t="str">
        <f t="shared" si="12"/>
        <v>I2</v>
      </c>
    </row>
    <row r="202" spans="1:12" s="27" customFormat="1" hidden="1" x14ac:dyDescent="0.25">
      <c r="A202" s="25">
        <v>189</v>
      </c>
      <c r="B202" s="26" t="s">
        <v>384</v>
      </c>
      <c r="C202" s="25" t="s">
        <v>385</v>
      </c>
      <c r="D202" s="25" t="s">
        <v>35</v>
      </c>
      <c r="E202" s="26" t="s">
        <v>1314</v>
      </c>
      <c r="G202" s="28"/>
      <c r="H202" s="29"/>
      <c r="K202" s="29" t="str">
        <f t="shared" si="11"/>
        <v>Meter4</v>
      </c>
      <c r="L202" s="29" t="str">
        <f t="shared" si="12"/>
        <v>I3</v>
      </c>
    </row>
    <row r="203" spans="1:12" s="27" customFormat="1" hidden="1" x14ac:dyDescent="0.25">
      <c r="A203" s="25">
        <v>190</v>
      </c>
      <c r="B203" s="26" t="s">
        <v>386</v>
      </c>
      <c r="C203" s="25" t="s">
        <v>387</v>
      </c>
      <c r="D203" s="25" t="s">
        <v>35</v>
      </c>
      <c r="E203" s="26" t="s">
        <v>1311</v>
      </c>
      <c r="G203" s="28"/>
      <c r="H203" s="26" t="s">
        <v>1311</v>
      </c>
      <c r="K203" s="29" t="str">
        <f t="shared" si="11"/>
        <v>Meter4</v>
      </c>
      <c r="L203" s="29" t="str">
        <f t="shared" si="12"/>
        <v>I_ph</v>
      </c>
    </row>
    <row r="204" spans="1:12" s="27" customFormat="1" hidden="1" x14ac:dyDescent="0.25">
      <c r="A204" s="25">
        <v>191</v>
      </c>
      <c r="B204" s="26" t="s">
        <v>388</v>
      </c>
      <c r="C204" s="25" t="s">
        <v>389</v>
      </c>
      <c r="D204" s="25" t="s">
        <v>35</v>
      </c>
      <c r="E204" s="26" t="s">
        <v>1323</v>
      </c>
      <c r="G204" s="28"/>
      <c r="K204" s="29" t="str">
        <f t="shared" si="11"/>
        <v>Meter4</v>
      </c>
      <c r="L204" s="29" t="str">
        <f t="shared" si="12"/>
        <v>kw1</v>
      </c>
    </row>
    <row r="205" spans="1:12" s="27" customFormat="1" hidden="1" x14ac:dyDescent="0.25">
      <c r="A205" s="25">
        <v>192</v>
      </c>
      <c r="B205" s="26" t="s">
        <v>390</v>
      </c>
      <c r="C205" s="25" t="s">
        <v>391</v>
      </c>
      <c r="D205" s="25" t="s">
        <v>35</v>
      </c>
      <c r="E205" s="26" t="s">
        <v>1324</v>
      </c>
      <c r="G205" s="28"/>
      <c r="K205" s="29" t="str">
        <f t="shared" si="11"/>
        <v>Meter4</v>
      </c>
      <c r="L205" s="29" t="str">
        <f t="shared" si="12"/>
        <v>kw2</v>
      </c>
    </row>
    <row r="206" spans="1:12" s="27" customFormat="1" hidden="1" x14ac:dyDescent="0.25">
      <c r="A206" s="25">
        <v>193</v>
      </c>
      <c r="B206" s="26" t="s">
        <v>392</v>
      </c>
      <c r="C206" s="25" t="s">
        <v>393</v>
      </c>
      <c r="D206" s="25" t="s">
        <v>35</v>
      </c>
      <c r="E206" s="26" t="s">
        <v>1325</v>
      </c>
      <c r="G206" s="28"/>
      <c r="K206" s="29" t="str">
        <f t="shared" si="11"/>
        <v>Meter4</v>
      </c>
      <c r="L206" s="29" t="str">
        <f t="shared" si="12"/>
        <v>kw3</v>
      </c>
    </row>
    <row r="207" spans="1:12" s="27" customFormat="1" hidden="1" x14ac:dyDescent="0.25">
      <c r="A207" s="25">
        <v>194</v>
      </c>
      <c r="B207" s="26" t="s">
        <v>394</v>
      </c>
      <c r="C207" s="25" t="s">
        <v>395</v>
      </c>
      <c r="D207" s="25" t="s">
        <v>35</v>
      </c>
      <c r="E207" s="26" t="s">
        <v>1326</v>
      </c>
      <c r="G207" s="28"/>
      <c r="K207" s="29" t="str">
        <f t="shared" ref="K207:K273" si="13">LEFT(B207, SEARCH("_",B207 ) - 1)</f>
        <v>Meter4</v>
      </c>
      <c r="L207" s="29" t="str">
        <f t="shared" si="12"/>
        <v>kva1</v>
      </c>
    </row>
    <row r="208" spans="1:12" s="27" customFormat="1" hidden="1" x14ac:dyDescent="0.25">
      <c r="A208" s="25">
        <v>195</v>
      </c>
      <c r="B208" s="26" t="s">
        <v>396</v>
      </c>
      <c r="C208" s="25" t="s">
        <v>397</v>
      </c>
      <c r="D208" s="25" t="s">
        <v>35</v>
      </c>
      <c r="E208" s="26" t="s">
        <v>1327</v>
      </c>
      <c r="G208" s="28"/>
      <c r="K208" s="29" t="str">
        <f t="shared" si="13"/>
        <v>Meter4</v>
      </c>
      <c r="L208" s="29" t="str">
        <f t="shared" si="12"/>
        <v>kva2</v>
      </c>
    </row>
    <row r="209" spans="1:12" s="27" customFormat="1" hidden="1" x14ac:dyDescent="0.25">
      <c r="A209" s="25">
        <v>196</v>
      </c>
      <c r="B209" s="26" t="s">
        <v>398</v>
      </c>
      <c r="C209" s="25" t="s">
        <v>399</v>
      </c>
      <c r="D209" s="25" t="s">
        <v>35</v>
      </c>
      <c r="E209" s="26" t="s">
        <v>1328</v>
      </c>
      <c r="G209" s="28"/>
      <c r="K209" s="29" t="str">
        <f t="shared" si="13"/>
        <v>Meter4</v>
      </c>
      <c r="L209" s="29" t="str">
        <f t="shared" si="12"/>
        <v>kva3</v>
      </c>
    </row>
    <row r="210" spans="1:12" s="27" customFormat="1" hidden="1" x14ac:dyDescent="0.25">
      <c r="A210" s="25">
        <v>197</v>
      </c>
      <c r="B210" s="26" t="s">
        <v>400</v>
      </c>
      <c r="C210" s="25" t="s">
        <v>401</v>
      </c>
      <c r="D210" s="25" t="s">
        <v>35</v>
      </c>
      <c r="E210" s="26" t="s">
        <v>1329</v>
      </c>
      <c r="G210" s="28"/>
      <c r="K210" s="29" t="str">
        <f t="shared" si="13"/>
        <v>Meter4</v>
      </c>
      <c r="L210" s="29" t="str">
        <f t="shared" si="12"/>
        <v>kvar1</v>
      </c>
    </row>
    <row r="211" spans="1:12" s="27" customFormat="1" hidden="1" x14ac:dyDescent="0.25">
      <c r="A211" s="25">
        <v>198</v>
      </c>
      <c r="B211" s="26" t="s">
        <v>402</v>
      </c>
      <c r="C211" s="25" t="s">
        <v>403</v>
      </c>
      <c r="D211" s="25" t="s">
        <v>35</v>
      </c>
      <c r="E211" s="26" t="s">
        <v>1330</v>
      </c>
      <c r="G211" s="28"/>
      <c r="K211" s="29" t="str">
        <f t="shared" si="13"/>
        <v>Meter4</v>
      </c>
      <c r="L211" s="29" t="str">
        <f t="shared" si="12"/>
        <v>kvar2</v>
      </c>
    </row>
    <row r="212" spans="1:12" s="27" customFormat="1" hidden="1" x14ac:dyDescent="0.25">
      <c r="A212" s="25">
        <v>199</v>
      </c>
      <c r="B212" s="26" t="s">
        <v>404</v>
      </c>
      <c r="C212" s="25" t="s">
        <v>405</v>
      </c>
      <c r="D212" s="25" t="s">
        <v>35</v>
      </c>
      <c r="E212" s="26" t="s">
        <v>1331</v>
      </c>
      <c r="G212" s="28"/>
      <c r="K212" s="29" t="str">
        <f t="shared" si="13"/>
        <v>Meter4</v>
      </c>
      <c r="L212" s="29" t="str">
        <f t="shared" ref="L212:L278" si="14">RIGHT(B212, LEN(B212)-SEARCH("_",B212 ))</f>
        <v>kvar3</v>
      </c>
    </row>
    <row r="213" spans="1:12" s="27" customFormat="1" hidden="1" x14ac:dyDescent="0.25">
      <c r="A213" s="25">
        <v>200</v>
      </c>
      <c r="B213" s="26" t="s">
        <v>406</v>
      </c>
      <c r="C213" s="25" t="s">
        <v>407</v>
      </c>
      <c r="D213" s="25" t="s">
        <v>35</v>
      </c>
      <c r="E213" s="26" t="s">
        <v>1332</v>
      </c>
      <c r="G213" s="28"/>
      <c r="H213" s="27" t="s">
        <v>1482</v>
      </c>
      <c r="K213" s="29" t="str">
        <f t="shared" si="13"/>
        <v>Meter4</v>
      </c>
      <c r="L213" s="29" t="str">
        <f t="shared" si="14"/>
        <v>total_kw</v>
      </c>
    </row>
    <row r="214" spans="1:12" s="27" customFormat="1" hidden="1" x14ac:dyDescent="0.25">
      <c r="A214" s="25">
        <v>201</v>
      </c>
      <c r="B214" s="26" t="s">
        <v>408</v>
      </c>
      <c r="C214" s="25" t="s">
        <v>409</v>
      </c>
      <c r="D214" s="25" t="s">
        <v>35</v>
      </c>
      <c r="E214" s="26" t="s">
        <v>1333</v>
      </c>
      <c r="G214" s="28"/>
      <c r="K214" s="29" t="str">
        <f t="shared" si="13"/>
        <v>Meter4</v>
      </c>
      <c r="L214" s="29" t="str">
        <f t="shared" si="14"/>
        <v>total_kva</v>
      </c>
    </row>
    <row r="215" spans="1:12" s="27" customFormat="1" hidden="1" x14ac:dyDescent="0.25">
      <c r="A215" s="25">
        <v>202</v>
      </c>
      <c r="B215" s="26" t="s">
        <v>410</v>
      </c>
      <c r="C215" s="25" t="s">
        <v>411</v>
      </c>
      <c r="D215" s="25" t="s">
        <v>35</v>
      </c>
      <c r="E215" s="26" t="s">
        <v>1334</v>
      </c>
      <c r="G215" s="28"/>
      <c r="K215" s="29" t="str">
        <f t="shared" si="13"/>
        <v>Meter4</v>
      </c>
      <c r="L215" s="29" t="str">
        <f t="shared" si="14"/>
        <v>total_kvar</v>
      </c>
    </row>
    <row r="216" spans="1:12" s="27" customFormat="1" hidden="1" x14ac:dyDescent="0.25">
      <c r="A216" s="25">
        <v>203</v>
      </c>
      <c r="B216" s="26" t="s">
        <v>412</v>
      </c>
      <c r="C216" s="25" t="s">
        <v>413</v>
      </c>
      <c r="D216" s="25" t="s">
        <v>35</v>
      </c>
      <c r="E216" s="26" t="s">
        <v>1335</v>
      </c>
      <c r="G216" s="28"/>
      <c r="K216" s="29" t="str">
        <f t="shared" si="13"/>
        <v>Meter4</v>
      </c>
      <c r="L216" s="29" t="str">
        <f t="shared" si="14"/>
        <v>PF1</v>
      </c>
    </row>
    <row r="217" spans="1:12" s="27" customFormat="1" hidden="1" x14ac:dyDescent="0.25">
      <c r="A217" s="25">
        <v>204</v>
      </c>
      <c r="B217" s="26" t="s">
        <v>414</v>
      </c>
      <c r="C217" s="25" t="s">
        <v>415</v>
      </c>
      <c r="D217" s="25" t="s">
        <v>35</v>
      </c>
      <c r="E217" s="26" t="s">
        <v>1336</v>
      </c>
      <c r="G217" s="28"/>
      <c r="K217" s="29" t="str">
        <f t="shared" si="13"/>
        <v>Meter4</v>
      </c>
      <c r="L217" s="29" t="str">
        <f t="shared" si="14"/>
        <v>PF2</v>
      </c>
    </row>
    <row r="218" spans="1:12" s="27" customFormat="1" hidden="1" x14ac:dyDescent="0.25">
      <c r="A218" s="25">
        <v>205</v>
      </c>
      <c r="B218" s="26" t="s">
        <v>416</v>
      </c>
      <c r="C218" s="25" t="s">
        <v>417</v>
      </c>
      <c r="D218" s="25" t="s">
        <v>35</v>
      </c>
      <c r="E218" s="26" t="s">
        <v>1337</v>
      </c>
      <c r="G218" s="28"/>
      <c r="K218" s="29" t="str">
        <f t="shared" si="13"/>
        <v>Meter4</v>
      </c>
      <c r="L218" s="29" t="str">
        <f t="shared" si="14"/>
        <v>PF3</v>
      </c>
    </row>
    <row r="219" spans="1:12" s="27" customFormat="1" hidden="1" x14ac:dyDescent="0.25">
      <c r="A219" s="25">
        <v>206</v>
      </c>
      <c r="B219" s="26" t="s">
        <v>418</v>
      </c>
      <c r="C219" s="25" t="s">
        <v>419</v>
      </c>
      <c r="D219" s="25" t="s">
        <v>35</v>
      </c>
      <c r="E219" s="26" t="s">
        <v>1338</v>
      </c>
      <c r="G219" s="28"/>
      <c r="H219" s="27" t="s">
        <v>1405</v>
      </c>
      <c r="K219" s="29" t="str">
        <f t="shared" si="13"/>
        <v>Meter4</v>
      </c>
      <c r="L219" s="29" t="str">
        <f t="shared" si="14"/>
        <v>PF</v>
      </c>
    </row>
    <row r="220" spans="1:12" s="27" customFormat="1" hidden="1" x14ac:dyDescent="0.25">
      <c r="A220" s="25">
        <v>207</v>
      </c>
      <c r="B220" s="26" t="s">
        <v>420</v>
      </c>
      <c r="C220" s="25" t="s">
        <v>421</v>
      </c>
      <c r="D220" s="25" t="s">
        <v>35</v>
      </c>
      <c r="E220" s="26" t="s">
        <v>1339</v>
      </c>
      <c r="G220" s="28"/>
      <c r="H220" s="27" t="s">
        <v>1339</v>
      </c>
      <c r="K220" s="29" t="str">
        <f t="shared" si="13"/>
        <v>Meter4</v>
      </c>
      <c r="L220" s="29" t="str">
        <f t="shared" si="14"/>
        <v>freq</v>
      </c>
    </row>
    <row r="221" spans="1:12" s="27" customFormat="1" hidden="1" x14ac:dyDescent="0.25">
      <c r="A221" s="25">
        <v>208</v>
      </c>
      <c r="B221" s="26" t="s">
        <v>422</v>
      </c>
      <c r="C221" s="25" t="s">
        <v>423</v>
      </c>
      <c r="D221" s="25" t="s">
        <v>35</v>
      </c>
      <c r="E221" s="26" t="s">
        <v>1340</v>
      </c>
      <c r="G221" s="28"/>
      <c r="H221" s="27" t="s">
        <v>1340</v>
      </c>
      <c r="K221" s="29" t="str">
        <f t="shared" si="13"/>
        <v>Meter4</v>
      </c>
      <c r="L221" s="29" t="str">
        <f t="shared" si="14"/>
        <v>kwh</v>
      </c>
    </row>
    <row r="222" spans="1:12" s="27" customFormat="1" hidden="1" x14ac:dyDescent="0.25">
      <c r="A222" s="25">
        <v>209</v>
      </c>
      <c r="B222" s="26" t="s">
        <v>424</v>
      </c>
      <c r="C222" s="25" t="s">
        <v>425</v>
      </c>
      <c r="D222" s="25" t="s">
        <v>35</v>
      </c>
      <c r="E222" s="26" t="s">
        <v>1341</v>
      </c>
      <c r="G222" s="28"/>
      <c r="K222" s="29" t="str">
        <f t="shared" si="13"/>
        <v>Meter4</v>
      </c>
      <c r="L222" s="29" t="str">
        <f t="shared" si="14"/>
        <v>kvah</v>
      </c>
    </row>
    <row r="223" spans="1:12" s="27" customFormat="1" hidden="1" x14ac:dyDescent="0.25">
      <c r="A223" s="25">
        <v>210</v>
      </c>
      <c r="B223" s="26" t="s">
        <v>426</v>
      </c>
      <c r="C223" s="25" t="s">
        <v>427</v>
      </c>
      <c r="D223" s="25" t="s">
        <v>35</v>
      </c>
      <c r="E223" s="26" t="s">
        <v>1342</v>
      </c>
      <c r="G223" s="28"/>
      <c r="K223" s="29" t="str">
        <f t="shared" si="13"/>
        <v>Meter4</v>
      </c>
      <c r="L223" s="29" t="str">
        <f t="shared" si="14"/>
        <v>kvarh</v>
      </c>
    </row>
    <row r="224" spans="1:12" s="27" customFormat="1" hidden="1" x14ac:dyDescent="0.25">
      <c r="A224" s="25">
        <v>211</v>
      </c>
      <c r="B224" s="26" t="s">
        <v>428</v>
      </c>
      <c r="C224" s="25" t="s">
        <v>429</v>
      </c>
      <c r="D224" s="25" t="s">
        <v>7</v>
      </c>
      <c r="E224" s="26" t="s">
        <v>1343</v>
      </c>
      <c r="G224" s="28"/>
      <c r="K224" s="29" t="str">
        <f t="shared" si="13"/>
        <v>Pump4</v>
      </c>
      <c r="L224" s="29" t="str">
        <f t="shared" si="14"/>
        <v>Ctrl_run_Pump</v>
      </c>
    </row>
    <row r="225" spans="1:12" s="27" customFormat="1" hidden="1" x14ac:dyDescent="0.25">
      <c r="A225" s="25">
        <v>212</v>
      </c>
      <c r="B225" s="26" t="s">
        <v>430</v>
      </c>
      <c r="C225" s="25" t="s">
        <v>431</v>
      </c>
      <c r="D225" s="25" t="s">
        <v>7</v>
      </c>
      <c r="E225" s="26" t="s">
        <v>1354</v>
      </c>
      <c r="G225" s="28"/>
      <c r="H225" s="27" t="s">
        <v>1496</v>
      </c>
      <c r="K225" s="29" t="str">
        <f t="shared" si="13"/>
        <v>Pump4</v>
      </c>
      <c r="L225" s="29" t="str">
        <f t="shared" si="14"/>
        <v>FB_Fault</v>
      </c>
    </row>
    <row r="226" spans="1:12" s="27" customFormat="1" hidden="1" x14ac:dyDescent="0.25">
      <c r="A226" s="25">
        <v>213</v>
      </c>
      <c r="B226" s="26" t="s">
        <v>432</v>
      </c>
      <c r="C226" s="25" t="s">
        <v>433</v>
      </c>
      <c r="D226" s="25" t="s">
        <v>7</v>
      </c>
      <c r="E226" s="26" t="s">
        <v>1344</v>
      </c>
      <c r="G226" s="28"/>
      <c r="K226" s="29" t="str">
        <f t="shared" si="13"/>
        <v>Pump4</v>
      </c>
      <c r="L226" s="29" t="str">
        <f t="shared" si="14"/>
        <v>Ctrl_PB_Run</v>
      </c>
    </row>
    <row r="227" spans="1:12" s="27" customFormat="1" hidden="1" x14ac:dyDescent="0.25">
      <c r="A227" s="25">
        <v>214</v>
      </c>
      <c r="B227" s="26" t="s">
        <v>434</v>
      </c>
      <c r="C227" s="25" t="s">
        <v>435</v>
      </c>
      <c r="D227" s="25" t="s">
        <v>7</v>
      </c>
      <c r="E227" s="26" t="s">
        <v>1345</v>
      </c>
      <c r="G227" s="28"/>
      <c r="K227" s="29" t="str">
        <f t="shared" si="13"/>
        <v>Pump4</v>
      </c>
      <c r="L227" s="29" t="str">
        <f t="shared" si="14"/>
        <v>Ctrl_PB_Stop</v>
      </c>
    </row>
    <row r="228" spans="1:12" s="27" customFormat="1" hidden="1" x14ac:dyDescent="0.25">
      <c r="A228" s="25">
        <v>215</v>
      </c>
      <c r="B228" s="26" t="s">
        <v>436</v>
      </c>
      <c r="C228" s="25" t="s">
        <v>437</v>
      </c>
      <c r="D228" s="25" t="s">
        <v>7</v>
      </c>
      <c r="E228" s="26" t="s">
        <v>1346</v>
      </c>
      <c r="G228" s="28"/>
      <c r="K228" s="29" t="str">
        <f t="shared" si="13"/>
        <v>Pump4</v>
      </c>
      <c r="L228" s="29" t="str">
        <f t="shared" si="14"/>
        <v>Ctrl_PB_RST</v>
      </c>
    </row>
    <row r="229" spans="1:12" s="30" customFormat="1" hidden="1" x14ac:dyDescent="0.25">
      <c r="A229" s="23">
        <v>50</v>
      </c>
      <c r="B229" s="24" t="s">
        <v>1570</v>
      </c>
      <c r="C229" s="23" t="s">
        <v>1584</v>
      </c>
      <c r="D229" s="23" t="s">
        <v>7</v>
      </c>
      <c r="E229" s="24" t="s">
        <v>1558</v>
      </c>
      <c r="G229" s="28"/>
      <c r="K229" s="31" t="str">
        <f t="shared" si="13"/>
        <v>Pump4</v>
      </c>
      <c r="L229" s="31" t="str">
        <f t="shared" si="14"/>
        <v>Ctrl_PB_Maintenance</v>
      </c>
    </row>
    <row r="230" spans="1:12" s="30" customFormat="1" hidden="1" x14ac:dyDescent="0.25">
      <c r="A230" s="23">
        <v>50</v>
      </c>
      <c r="B230" s="24" t="s">
        <v>1571</v>
      </c>
      <c r="C230" s="23" t="s">
        <v>1585</v>
      </c>
      <c r="D230" s="23" t="s">
        <v>7</v>
      </c>
      <c r="E230" s="24" t="s">
        <v>1559</v>
      </c>
      <c r="G230" s="28"/>
      <c r="H230" s="30" t="s">
        <v>1563</v>
      </c>
      <c r="K230" s="31" t="str">
        <f t="shared" si="13"/>
        <v>Pump4</v>
      </c>
      <c r="L230" s="31" t="str">
        <f t="shared" si="14"/>
        <v>FB_Maintenance</v>
      </c>
    </row>
    <row r="231" spans="1:12" s="27" customFormat="1" hidden="1" x14ac:dyDescent="0.25">
      <c r="A231" s="25">
        <v>216</v>
      </c>
      <c r="B231" s="26" t="s">
        <v>438</v>
      </c>
      <c r="C231" s="25" t="s">
        <v>439</v>
      </c>
      <c r="D231" s="25" t="s">
        <v>24</v>
      </c>
      <c r="E231" s="26" t="s">
        <v>1347</v>
      </c>
      <c r="G231" s="28"/>
      <c r="H231" s="27" t="s">
        <v>1518</v>
      </c>
      <c r="K231" s="29" t="str">
        <f t="shared" si="13"/>
        <v>Pump4</v>
      </c>
      <c r="L231" s="29" t="str">
        <f t="shared" si="14"/>
        <v>Time_Run_M</v>
      </c>
    </row>
    <row r="232" spans="1:12" s="27" customFormat="1" hidden="1" x14ac:dyDescent="0.25">
      <c r="A232" s="25">
        <v>217</v>
      </c>
      <c r="B232" s="26" t="s">
        <v>440</v>
      </c>
      <c r="C232" s="25" t="s">
        <v>441</v>
      </c>
      <c r="D232" s="25" t="s">
        <v>24</v>
      </c>
      <c r="E232" s="26" t="s">
        <v>1348</v>
      </c>
      <c r="G232" s="28"/>
      <c r="H232" s="27" t="s">
        <v>1518</v>
      </c>
      <c r="K232" s="29" t="str">
        <f t="shared" si="13"/>
        <v>Pump4</v>
      </c>
      <c r="L232" s="29" t="str">
        <f t="shared" si="14"/>
        <v>Time_Run_H</v>
      </c>
    </row>
    <row r="233" spans="1:12" s="27" customFormat="1" hidden="1" x14ac:dyDescent="0.25">
      <c r="A233" s="25">
        <v>218</v>
      </c>
      <c r="B233" s="26" t="s">
        <v>442</v>
      </c>
      <c r="C233" s="25" t="s">
        <v>443</v>
      </c>
      <c r="D233" s="25" t="s">
        <v>24</v>
      </c>
      <c r="E233" s="26" t="s">
        <v>1349</v>
      </c>
      <c r="G233" s="28"/>
      <c r="H233" s="27" t="s">
        <v>1517</v>
      </c>
      <c r="K233" s="29" t="str">
        <f t="shared" si="13"/>
        <v>Pump4</v>
      </c>
      <c r="L233" s="29" t="str">
        <f t="shared" si="14"/>
        <v>Total_Time_Run_M</v>
      </c>
    </row>
    <row r="234" spans="1:12" s="27" customFormat="1" hidden="1" x14ac:dyDescent="0.25">
      <c r="A234" s="25">
        <v>219</v>
      </c>
      <c r="B234" s="26" t="s">
        <v>444</v>
      </c>
      <c r="C234" s="25" t="s">
        <v>445</v>
      </c>
      <c r="D234" s="25" t="s">
        <v>24</v>
      </c>
      <c r="E234" s="26" t="s">
        <v>1350</v>
      </c>
      <c r="G234" s="28"/>
      <c r="H234" s="27" t="s">
        <v>1517</v>
      </c>
      <c r="K234" s="29" t="str">
        <f t="shared" si="13"/>
        <v>Pump4</v>
      </c>
      <c r="L234" s="29" t="str">
        <f t="shared" si="14"/>
        <v>Total_Time_Run_H</v>
      </c>
    </row>
    <row r="235" spans="1:12" s="27" customFormat="1" hidden="1" x14ac:dyDescent="0.25">
      <c r="A235" s="25">
        <v>220</v>
      </c>
      <c r="B235" s="26" t="s">
        <v>446</v>
      </c>
      <c r="C235" s="25" t="s">
        <v>447</v>
      </c>
      <c r="D235" s="25" t="s">
        <v>24</v>
      </c>
      <c r="E235" s="26" t="s">
        <v>1351</v>
      </c>
      <c r="G235" s="28"/>
      <c r="K235" s="29" t="str">
        <f t="shared" si="13"/>
        <v>Pump4</v>
      </c>
      <c r="L235" s="29" t="str">
        <f t="shared" si="14"/>
        <v>NumberOfclose</v>
      </c>
    </row>
    <row r="236" spans="1:12" s="27" customFormat="1" hidden="1" x14ac:dyDescent="0.25">
      <c r="A236" s="25">
        <v>221</v>
      </c>
      <c r="B236" s="26" t="s">
        <v>448</v>
      </c>
      <c r="C236" s="25" t="s">
        <v>449</v>
      </c>
      <c r="D236" s="25" t="s">
        <v>7</v>
      </c>
      <c r="E236" s="26" t="s">
        <v>1355</v>
      </c>
      <c r="G236" s="28" t="s">
        <v>1530</v>
      </c>
      <c r="K236" s="29" t="str">
        <f t="shared" si="13"/>
        <v>Pump5</v>
      </c>
      <c r="L236" s="29" t="str">
        <f t="shared" si="14"/>
        <v>FB_auto</v>
      </c>
    </row>
    <row r="237" spans="1:12" s="27" customFormat="1" hidden="1" x14ac:dyDescent="0.25">
      <c r="A237" s="25">
        <v>222</v>
      </c>
      <c r="B237" s="26" t="s">
        <v>450</v>
      </c>
      <c r="C237" s="25" t="s">
        <v>451</v>
      </c>
      <c r="D237" s="25" t="s">
        <v>7</v>
      </c>
      <c r="E237" s="26" t="s">
        <v>1306</v>
      </c>
      <c r="G237" s="28"/>
      <c r="H237" s="27" t="s">
        <v>1505</v>
      </c>
      <c r="K237" s="29" t="str">
        <f t="shared" si="13"/>
        <v>Pump5</v>
      </c>
      <c r="L237" s="29" t="str">
        <f t="shared" si="14"/>
        <v>FB_Run</v>
      </c>
    </row>
    <row r="238" spans="1:12" s="27" customFormat="1" hidden="1" x14ac:dyDescent="0.25">
      <c r="A238" s="25">
        <v>223</v>
      </c>
      <c r="B238" s="26" t="s">
        <v>452</v>
      </c>
      <c r="C238" s="25" t="s">
        <v>453</v>
      </c>
      <c r="D238" s="25" t="s">
        <v>7</v>
      </c>
      <c r="E238" s="26" t="s">
        <v>1307</v>
      </c>
      <c r="G238" s="28"/>
      <c r="K238" s="29" t="str">
        <f t="shared" si="13"/>
        <v>Pump5</v>
      </c>
      <c r="L238" s="29" t="str">
        <f t="shared" si="14"/>
        <v>FB_Fault_V</v>
      </c>
    </row>
    <row r="239" spans="1:12" s="27" customFormat="1" hidden="1" x14ac:dyDescent="0.25">
      <c r="A239" s="25">
        <v>224</v>
      </c>
      <c r="B239" s="26" t="s">
        <v>454</v>
      </c>
      <c r="C239" s="25" t="s">
        <v>455</v>
      </c>
      <c r="D239" s="25" t="s">
        <v>7</v>
      </c>
      <c r="E239" s="26" t="s">
        <v>1307</v>
      </c>
      <c r="G239" s="28"/>
      <c r="K239" s="29" t="str">
        <f t="shared" si="13"/>
        <v>Pump5</v>
      </c>
      <c r="L239" s="29" t="str">
        <f t="shared" si="14"/>
        <v>FB_Fault_SS</v>
      </c>
    </row>
    <row r="240" spans="1:12" s="27" customFormat="1" hidden="1" x14ac:dyDescent="0.25">
      <c r="A240" s="25">
        <v>225</v>
      </c>
      <c r="B240" s="26" t="s">
        <v>456</v>
      </c>
      <c r="C240" s="25" t="s">
        <v>457</v>
      </c>
      <c r="D240" s="25" t="s">
        <v>7</v>
      </c>
      <c r="E240" s="26" t="s">
        <v>1356</v>
      </c>
      <c r="G240" s="28"/>
      <c r="K240" s="29" t="str">
        <f t="shared" si="13"/>
        <v>Pump5</v>
      </c>
      <c r="L240" s="29" t="str">
        <f t="shared" si="14"/>
        <v>FB_Fault_Temp</v>
      </c>
    </row>
    <row r="241" spans="1:12" s="27" customFormat="1" hidden="1" x14ac:dyDescent="0.25">
      <c r="A241" s="25">
        <v>226</v>
      </c>
      <c r="B241" s="26" t="s">
        <v>458</v>
      </c>
      <c r="C241" s="25" t="s">
        <v>459</v>
      </c>
      <c r="D241" s="25" t="s">
        <v>7</v>
      </c>
      <c r="E241" s="26" t="s">
        <v>1307</v>
      </c>
      <c r="G241" s="28"/>
      <c r="K241" s="29" t="str">
        <f t="shared" si="13"/>
        <v>Pump5</v>
      </c>
      <c r="L241" s="29" t="str">
        <f t="shared" si="14"/>
        <v>FB_Fault_Curent</v>
      </c>
    </row>
    <row r="242" spans="1:12" s="27" customFormat="1" hidden="1" x14ac:dyDescent="0.25">
      <c r="A242" s="25">
        <v>227</v>
      </c>
      <c r="B242" s="26" t="s">
        <v>460</v>
      </c>
      <c r="C242" s="25" t="s">
        <v>461</v>
      </c>
      <c r="D242" s="25" t="s">
        <v>7</v>
      </c>
      <c r="E242" s="26" t="s">
        <v>1357</v>
      </c>
      <c r="G242" s="28"/>
      <c r="K242" s="29" t="str">
        <f t="shared" si="13"/>
        <v>Pump5</v>
      </c>
      <c r="L242" s="29" t="str">
        <f t="shared" si="14"/>
        <v>Clock_1m</v>
      </c>
    </row>
    <row r="243" spans="1:12" s="30" customFormat="1" x14ac:dyDescent="0.25">
      <c r="A243" s="23">
        <v>228</v>
      </c>
      <c r="B243" s="24" t="s">
        <v>1543</v>
      </c>
      <c r="C243" s="23" t="s">
        <v>463</v>
      </c>
      <c r="D243" s="23" t="s">
        <v>7</v>
      </c>
      <c r="E243" s="24" t="s">
        <v>1358</v>
      </c>
      <c r="G243" s="28"/>
      <c r="H243" s="17" t="s">
        <v>1524</v>
      </c>
      <c r="K243" s="31" t="str">
        <f t="shared" si="13"/>
        <v>Pump5</v>
      </c>
      <c r="L243" s="31" t="str">
        <f t="shared" si="14"/>
        <v>FB_ON_MCCB</v>
      </c>
    </row>
    <row r="244" spans="1:12" s="30" customFormat="1" hidden="1" x14ac:dyDescent="0.25">
      <c r="A244" s="23">
        <v>8</v>
      </c>
      <c r="B244" s="32" t="s">
        <v>1544</v>
      </c>
      <c r="C244" s="23" t="s">
        <v>1535</v>
      </c>
      <c r="D244" s="23" t="s">
        <v>7</v>
      </c>
      <c r="E244" s="24" t="s">
        <v>1393</v>
      </c>
      <c r="G244" s="28"/>
      <c r="H244" s="30" t="s">
        <v>1495</v>
      </c>
      <c r="K244" s="31" t="str">
        <f t="shared" si="13"/>
        <v>Pump5</v>
      </c>
      <c r="L244" s="31" t="str">
        <f t="shared" si="14"/>
        <v>FB_Stop</v>
      </c>
    </row>
    <row r="245" spans="1:12" s="27" customFormat="1" hidden="1" x14ac:dyDescent="0.25">
      <c r="A245" s="25">
        <v>229</v>
      </c>
      <c r="B245" s="26" t="s">
        <v>464</v>
      </c>
      <c r="C245" s="25" t="s">
        <v>465</v>
      </c>
      <c r="D245" s="25" t="s">
        <v>24</v>
      </c>
      <c r="E245" s="26" t="s">
        <v>1352</v>
      </c>
      <c r="G245" s="28"/>
      <c r="H245" s="27" t="s">
        <v>1514</v>
      </c>
      <c r="K245" s="29" t="str">
        <f t="shared" si="13"/>
        <v>Pump5</v>
      </c>
      <c r="L245" s="29" t="str">
        <f t="shared" si="14"/>
        <v>FB_Temp_DEBearing</v>
      </c>
    </row>
    <row r="246" spans="1:12" s="27" customFormat="1" hidden="1" x14ac:dyDescent="0.25">
      <c r="A246" s="25">
        <v>230</v>
      </c>
      <c r="B246" s="26" t="s">
        <v>466</v>
      </c>
      <c r="C246" s="25" t="s">
        <v>467</v>
      </c>
      <c r="D246" s="25" t="s">
        <v>24</v>
      </c>
      <c r="E246" s="26" t="s">
        <v>1353</v>
      </c>
      <c r="G246" s="28"/>
      <c r="H246" s="27" t="s">
        <v>1515</v>
      </c>
      <c r="K246" s="29" t="str">
        <f t="shared" si="13"/>
        <v>Pump5</v>
      </c>
      <c r="L246" s="29" t="str">
        <f t="shared" si="14"/>
        <v>FB_Temp_NDEBearing</v>
      </c>
    </row>
    <row r="247" spans="1:12" s="27" customFormat="1" hidden="1" x14ac:dyDescent="0.25">
      <c r="A247" s="25">
        <v>231</v>
      </c>
      <c r="B247" s="26" t="s">
        <v>468</v>
      </c>
      <c r="C247" s="25" t="s">
        <v>469</v>
      </c>
      <c r="D247" s="25" t="s">
        <v>24</v>
      </c>
      <c r="E247" s="26" t="s">
        <v>1308</v>
      </c>
      <c r="G247" s="28"/>
      <c r="H247" s="27" t="s">
        <v>1511</v>
      </c>
      <c r="K247" s="29" t="str">
        <f t="shared" si="13"/>
        <v>Pump5</v>
      </c>
      <c r="L247" s="29" t="str">
        <f t="shared" si="14"/>
        <v>FB_Temp_PhaseA</v>
      </c>
    </row>
    <row r="248" spans="1:12" s="27" customFormat="1" hidden="1" x14ac:dyDescent="0.25">
      <c r="A248" s="25">
        <v>232</v>
      </c>
      <c r="B248" s="26" t="s">
        <v>470</v>
      </c>
      <c r="C248" s="25" t="s">
        <v>471</v>
      </c>
      <c r="D248" s="25" t="s">
        <v>24</v>
      </c>
      <c r="E248" s="26" t="s">
        <v>1309</v>
      </c>
      <c r="G248" s="28"/>
      <c r="H248" s="27" t="s">
        <v>1512</v>
      </c>
      <c r="K248" s="29" t="str">
        <f t="shared" si="13"/>
        <v>Pump5</v>
      </c>
      <c r="L248" s="29" t="str">
        <f t="shared" si="14"/>
        <v>FB_Temp_PhaseB</v>
      </c>
    </row>
    <row r="249" spans="1:12" s="27" customFormat="1" hidden="1" x14ac:dyDescent="0.25">
      <c r="A249" s="25">
        <v>233</v>
      </c>
      <c r="B249" s="26" t="s">
        <v>472</v>
      </c>
      <c r="C249" s="25" t="s">
        <v>473</v>
      </c>
      <c r="D249" s="25" t="s">
        <v>24</v>
      </c>
      <c r="E249" s="26" t="s">
        <v>1310</v>
      </c>
      <c r="G249" s="28"/>
      <c r="H249" s="27" t="s">
        <v>1513</v>
      </c>
      <c r="K249" s="29" t="str">
        <f t="shared" si="13"/>
        <v>Pump5</v>
      </c>
      <c r="L249" s="29" t="str">
        <f t="shared" si="14"/>
        <v>FB_Temp_PhaseC</v>
      </c>
    </row>
    <row r="250" spans="1:12" s="27" customFormat="1" hidden="1" x14ac:dyDescent="0.25">
      <c r="A250" s="25">
        <v>234</v>
      </c>
      <c r="B250" s="26" t="s">
        <v>474</v>
      </c>
      <c r="C250" s="25" t="s">
        <v>475</v>
      </c>
      <c r="D250" s="25" t="s">
        <v>35</v>
      </c>
      <c r="E250" s="26" t="s">
        <v>1315</v>
      </c>
      <c r="G250" s="28"/>
      <c r="K250" s="29" t="str">
        <f t="shared" si="13"/>
        <v>Meter5</v>
      </c>
      <c r="L250" s="29" t="str">
        <f t="shared" si="14"/>
        <v>U1</v>
      </c>
    </row>
    <row r="251" spans="1:12" s="27" customFormat="1" hidden="1" x14ac:dyDescent="0.25">
      <c r="A251" s="25">
        <v>235</v>
      </c>
      <c r="B251" s="26" t="s">
        <v>476</v>
      </c>
      <c r="C251" s="25" t="s">
        <v>477</v>
      </c>
      <c r="D251" s="25" t="s">
        <v>35</v>
      </c>
      <c r="E251" s="26" t="s">
        <v>1316</v>
      </c>
      <c r="G251" s="28"/>
      <c r="K251" s="29" t="str">
        <f t="shared" si="13"/>
        <v>Meter5</v>
      </c>
      <c r="L251" s="29" t="str">
        <f t="shared" si="14"/>
        <v>U2</v>
      </c>
    </row>
    <row r="252" spans="1:12" s="27" customFormat="1" hidden="1" x14ac:dyDescent="0.25">
      <c r="A252" s="25">
        <v>236</v>
      </c>
      <c r="B252" s="26" t="s">
        <v>478</v>
      </c>
      <c r="C252" s="25" t="s">
        <v>479</v>
      </c>
      <c r="D252" s="25" t="s">
        <v>35</v>
      </c>
      <c r="E252" s="26" t="s">
        <v>1317</v>
      </c>
      <c r="G252" s="28"/>
      <c r="K252" s="29" t="str">
        <f t="shared" si="13"/>
        <v>Meter5</v>
      </c>
      <c r="L252" s="29" t="str">
        <f t="shared" si="14"/>
        <v>U3</v>
      </c>
    </row>
    <row r="253" spans="1:12" s="27" customFormat="1" hidden="1" x14ac:dyDescent="0.25">
      <c r="A253" s="25">
        <v>237</v>
      </c>
      <c r="B253" s="26" t="s">
        <v>480</v>
      </c>
      <c r="C253" s="25" t="s">
        <v>481</v>
      </c>
      <c r="D253" s="25" t="s">
        <v>35</v>
      </c>
      <c r="E253" s="26" t="s">
        <v>1318</v>
      </c>
      <c r="G253" s="28"/>
      <c r="K253" s="29" t="str">
        <f t="shared" si="13"/>
        <v>Meter5</v>
      </c>
      <c r="L253" s="29" t="str">
        <f t="shared" si="14"/>
        <v>U_Ph</v>
      </c>
    </row>
    <row r="254" spans="1:12" s="27" customFormat="1" hidden="1" x14ac:dyDescent="0.25">
      <c r="A254" s="25">
        <v>238</v>
      </c>
      <c r="B254" s="26" t="s">
        <v>482</v>
      </c>
      <c r="C254" s="25" t="s">
        <v>483</v>
      </c>
      <c r="D254" s="25" t="s">
        <v>35</v>
      </c>
      <c r="E254" s="26" t="s">
        <v>1319</v>
      </c>
      <c r="G254" s="28"/>
      <c r="H254" s="27" t="s">
        <v>1319</v>
      </c>
      <c r="K254" s="29" t="str">
        <f t="shared" si="13"/>
        <v>Meter5</v>
      </c>
      <c r="L254" s="29" t="str">
        <f t="shared" si="14"/>
        <v>U12</v>
      </c>
    </row>
    <row r="255" spans="1:12" s="27" customFormat="1" hidden="1" x14ac:dyDescent="0.25">
      <c r="A255" s="25">
        <v>239</v>
      </c>
      <c r="B255" s="26" t="s">
        <v>484</v>
      </c>
      <c r="C255" s="25" t="s">
        <v>485</v>
      </c>
      <c r="D255" s="25" t="s">
        <v>35</v>
      </c>
      <c r="E255" s="26" t="s">
        <v>1320</v>
      </c>
      <c r="G255" s="28"/>
      <c r="H255" s="27" t="s">
        <v>1320</v>
      </c>
      <c r="K255" s="29" t="str">
        <f t="shared" si="13"/>
        <v>Meter5</v>
      </c>
      <c r="L255" s="29" t="str">
        <f t="shared" si="14"/>
        <v>U23</v>
      </c>
    </row>
    <row r="256" spans="1:12" s="27" customFormat="1" hidden="1" x14ac:dyDescent="0.25">
      <c r="A256" s="25">
        <v>240</v>
      </c>
      <c r="B256" s="26" t="s">
        <v>486</v>
      </c>
      <c r="C256" s="25" t="s">
        <v>487</v>
      </c>
      <c r="D256" s="25" t="s">
        <v>35</v>
      </c>
      <c r="E256" s="26" t="s">
        <v>1321</v>
      </c>
      <c r="G256" s="28"/>
      <c r="H256" s="27" t="s">
        <v>1516</v>
      </c>
      <c r="K256" s="29" t="str">
        <f t="shared" si="13"/>
        <v>Meter5</v>
      </c>
      <c r="L256" s="29" t="str">
        <f t="shared" si="14"/>
        <v>U31</v>
      </c>
    </row>
    <row r="257" spans="1:12" s="27" customFormat="1" hidden="1" x14ac:dyDescent="0.25">
      <c r="A257" s="25">
        <v>241</v>
      </c>
      <c r="B257" s="26" t="s">
        <v>488</v>
      </c>
      <c r="C257" s="25" t="s">
        <v>489</v>
      </c>
      <c r="D257" s="25" t="s">
        <v>35</v>
      </c>
      <c r="E257" s="26" t="s">
        <v>1322</v>
      </c>
      <c r="G257" s="28"/>
      <c r="K257" s="29" t="str">
        <f t="shared" si="13"/>
        <v>Meter5</v>
      </c>
      <c r="L257" s="29" t="str">
        <f t="shared" si="14"/>
        <v>Uline</v>
      </c>
    </row>
    <row r="258" spans="1:12" s="27" customFormat="1" hidden="1" x14ac:dyDescent="0.25">
      <c r="A258" s="25">
        <v>242</v>
      </c>
      <c r="B258" s="26" t="s">
        <v>490</v>
      </c>
      <c r="C258" s="25" t="s">
        <v>491</v>
      </c>
      <c r="D258" s="25" t="s">
        <v>35</v>
      </c>
      <c r="E258" s="26" t="s">
        <v>1312</v>
      </c>
      <c r="G258" s="28"/>
      <c r="H258" s="29"/>
      <c r="K258" s="29" t="str">
        <f t="shared" si="13"/>
        <v>Meter5</v>
      </c>
      <c r="L258" s="29" t="str">
        <f t="shared" si="14"/>
        <v>I1</v>
      </c>
    </row>
    <row r="259" spans="1:12" s="27" customFormat="1" hidden="1" x14ac:dyDescent="0.25">
      <c r="A259" s="25">
        <v>243</v>
      </c>
      <c r="B259" s="26" t="s">
        <v>492</v>
      </c>
      <c r="C259" s="25" t="s">
        <v>493</v>
      </c>
      <c r="D259" s="25" t="s">
        <v>35</v>
      </c>
      <c r="E259" s="26" t="s">
        <v>1313</v>
      </c>
      <c r="G259" s="28"/>
      <c r="H259" s="29"/>
      <c r="K259" s="29" t="str">
        <f t="shared" si="13"/>
        <v>Meter5</v>
      </c>
      <c r="L259" s="29" t="str">
        <f t="shared" si="14"/>
        <v>I2</v>
      </c>
    </row>
    <row r="260" spans="1:12" s="27" customFormat="1" hidden="1" x14ac:dyDescent="0.25">
      <c r="A260" s="25">
        <v>244</v>
      </c>
      <c r="B260" s="26" t="s">
        <v>494</v>
      </c>
      <c r="C260" s="25" t="s">
        <v>495</v>
      </c>
      <c r="D260" s="25" t="s">
        <v>35</v>
      </c>
      <c r="E260" s="26" t="s">
        <v>1314</v>
      </c>
      <c r="G260" s="28"/>
      <c r="H260" s="29"/>
      <c r="K260" s="29" t="str">
        <f t="shared" si="13"/>
        <v>Meter5</v>
      </c>
      <c r="L260" s="29" t="str">
        <f t="shared" si="14"/>
        <v>I3</v>
      </c>
    </row>
    <row r="261" spans="1:12" s="27" customFormat="1" hidden="1" x14ac:dyDescent="0.25">
      <c r="A261" s="25">
        <v>245</v>
      </c>
      <c r="B261" s="26" t="s">
        <v>496</v>
      </c>
      <c r="C261" s="25" t="s">
        <v>497</v>
      </c>
      <c r="D261" s="25" t="s">
        <v>35</v>
      </c>
      <c r="E261" s="26" t="s">
        <v>1311</v>
      </c>
      <c r="G261" s="28"/>
      <c r="H261" s="26" t="s">
        <v>1311</v>
      </c>
      <c r="K261" s="29" t="str">
        <f t="shared" si="13"/>
        <v>Meter5</v>
      </c>
      <c r="L261" s="29" t="str">
        <f t="shared" si="14"/>
        <v>I_ph</v>
      </c>
    </row>
    <row r="262" spans="1:12" s="27" customFormat="1" hidden="1" x14ac:dyDescent="0.25">
      <c r="A262" s="25">
        <v>246</v>
      </c>
      <c r="B262" s="26" t="s">
        <v>498</v>
      </c>
      <c r="C262" s="25" t="s">
        <v>499</v>
      </c>
      <c r="D262" s="25" t="s">
        <v>35</v>
      </c>
      <c r="E262" s="26" t="s">
        <v>1323</v>
      </c>
      <c r="G262" s="28"/>
      <c r="K262" s="29" t="str">
        <f t="shared" si="13"/>
        <v>Meter5</v>
      </c>
      <c r="L262" s="29" t="str">
        <f t="shared" si="14"/>
        <v>kw1</v>
      </c>
    </row>
    <row r="263" spans="1:12" s="27" customFormat="1" hidden="1" x14ac:dyDescent="0.25">
      <c r="A263" s="25">
        <v>247</v>
      </c>
      <c r="B263" s="26" t="s">
        <v>500</v>
      </c>
      <c r="C263" s="25" t="s">
        <v>501</v>
      </c>
      <c r="D263" s="25" t="s">
        <v>35</v>
      </c>
      <c r="E263" s="26" t="s">
        <v>1324</v>
      </c>
      <c r="G263" s="28"/>
      <c r="K263" s="29" t="str">
        <f t="shared" si="13"/>
        <v>Meter5</v>
      </c>
      <c r="L263" s="29" t="str">
        <f t="shared" si="14"/>
        <v>kw2</v>
      </c>
    </row>
    <row r="264" spans="1:12" s="27" customFormat="1" hidden="1" x14ac:dyDescent="0.25">
      <c r="A264" s="25">
        <v>248</v>
      </c>
      <c r="B264" s="26" t="s">
        <v>502</v>
      </c>
      <c r="C264" s="25" t="s">
        <v>503</v>
      </c>
      <c r="D264" s="25" t="s">
        <v>35</v>
      </c>
      <c r="E264" s="26" t="s">
        <v>1325</v>
      </c>
      <c r="G264" s="28"/>
      <c r="K264" s="29" t="str">
        <f t="shared" si="13"/>
        <v>Meter5</v>
      </c>
      <c r="L264" s="29" t="str">
        <f t="shared" si="14"/>
        <v>kw3</v>
      </c>
    </row>
    <row r="265" spans="1:12" s="27" customFormat="1" hidden="1" x14ac:dyDescent="0.25">
      <c r="A265" s="25">
        <v>249</v>
      </c>
      <c r="B265" s="26" t="s">
        <v>504</v>
      </c>
      <c r="C265" s="25" t="s">
        <v>505</v>
      </c>
      <c r="D265" s="25" t="s">
        <v>35</v>
      </c>
      <c r="E265" s="26" t="s">
        <v>1326</v>
      </c>
      <c r="G265" s="28"/>
      <c r="K265" s="29" t="str">
        <f t="shared" si="13"/>
        <v>Meter5</v>
      </c>
      <c r="L265" s="29" t="str">
        <f t="shared" si="14"/>
        <v>kva1</v>
      </c>
    </row>
    <row r="266" spans="1:12" s="27" customFormat="1" hidden="1" x14ac:dyDescent="0.25">
      <c r="A266" s="25">
        <v>250</v>
      </c>
      <c r="B266" s="26" t="s">
        <v>506</v>
      </c>
      <c r="C266" s="25" t="s">
        <v>507</v>
      </c>
      <c r="D266" s="25" t="s">
        <v>35</v>
      </c>
      <c r="E266" s="26" t="s">
        <v>1327</v>
      </c>
      <c r="G266" s="28"/>
      <c r="K266" s="29" t="str">
        <f t="shared" si="13"/>
        <v>Meter5</v>
      </c>
      <c r="L266" s="29" t="str">
        <f t="shared" si="14"/>
        <v>kva2</v>
      </c>
    </row>
    <row r="267" spans="1:12" s="27" customFormat="1" hidden="1" x14ac:dyDescent="0.25">
      <c r="A267" s="25">
        <v>251</v>
      </c>
      <c r="B267" s="26" t="s">
        <v>508</v>
      </c>
      <c r="C267" s="25" t="s">
        <v>509</v>
      </c>
      <c r="D267" s="25" t="s">
        <v>35</v>
      </c>
      <c r="E267" s="26" t="s">
        <v>1328</v>
      </c>
      <c r="G267" s="28"/>
      <c r="K267" s="29" t="str">
        <f t="shared" si="13"/>
        <v>Meter5</v>
      </c>
      <c r="L267" s="29" t="str">
        <f t="shared" si="14"/>
        <v>kva3</v>
      </c>
    </row>
    <row r="268" spans="1:12" s="27" customFormat="1" hidden="1" x14ac:dyDescent="0.25">
      <c r="A268" s="25">
        <v>252</v>
      </c>
      <c r="B268" s="26" t="s">
        <v>510</v>
      </c>
      <c r="C268" s="25" t="s">
        <v>511</v>
      </c>
      <c r="D268" s="25" t="s">
        <v>35</v>
      </c>
      <c r="E268" s="26" t="s">
        <v>1329</v>
      </c>
      <c r="G268" s="28"/>
      <c r="K268" s="29" t="str">
        <f t="shared" si="13"/>
        <v>Meter5</v>
      </c>
      <c r="L268" s="29" t="str">
        <f t="shared" si="14"/>
        <v>kvar1</v>
      </c>
    </row>
    <row r="269" spans="1:12" s="27" customFormat="1" hidden="1" x14ac:dyDescent="0.25">
      <c r="A269" s="25">
        <v>253</v>
      </c>
      <c r="B269" s="26" t="s">
        <v>512</v>
      </c>
      <c r="C269" s="25" t="s">
        <v>513</v>
      </c>
      <c r="D269" s="25" t="s">
        <v>35</v>
      </c>
      <c r="E269" s="26" t="s">
        <v>1330</v>
      </c>
      <c r="G269" s="28"/>
      <c r="K269" s="29" t="str">
        <f t="shared" si="13"/>
        <v>Meter5</v>
      </c>
      <c r="L269" s="29" t="str">
        <f t="shared" si="14"/>
        <v>kvar2</v>
      </c>
    </row>
    <row r="270" spans="1:12" s="27" customFormat="1" hidden="1" x14ac:dyDescent="0.25">
      <c r="A270" s="25">
        <v>254</v>
      </c>
      <c r="B270" s="26" t="s">
        <v>514</v>
      </c>
      <c r="C270" s="25" t="s">
        <v>515</v>
      </c>
      <c r="D270" s="25" t="s">
        <v>35</v>
      </c>
      <c r="E270" s="26" t="s">
        <v>1331</v>
      </c>
      <c r="G270" s="28"/>
      <c r="K270" s="29" t="str">
        <f t="shared" si="13"/>
        <v>Meter5</v>
      </c>
      <c r="L270" s="29" t="str">
        <f t="shared" si="14"/>
        <v>kvar3</v>
      </c>
    </row>
    <row r="271" spans="1:12" s="27" customFormat="1" hidden="1" x14ac:dyDescent="0.25">
      <c r="A271" s="25">
        <v>255</v>
      </c>
      <c r="B271" s="26" t="s">
        <v>516</v>
      </c>
      <c r="C271" s="25" t="s">
        <v>517</v>
      </c>
      <c r="D271" s="25" t="s">
        <v>35</v>
      </c>
      <c r="E271" s="26" t="s">
        <v>1332</v>
      </c>
      <c r="G271" s="28"/>
      <c r="H271" s="27" t="s">
        <v>1482</v>
      </c>
      <c r="K271" s="29" t="str">
        <f t="shared" si="13"/>
        <v>Meter5</v>
      </c>
      <c r="L271" s="29" t="str">
        <f t="shared" si="14"/>
        <v>total_kw</v>
      </c>
    </row>
    <row r="272" spans="1:12" s="27" customFormat="1" hidden="1" x14ac:dyDescent="0.25">
      <c r="A272" s="25">
        <v>256</v>
      </c>
      <c r="B272" s="26" t="s">
        <v>518</v>
      </c>
      <c r="C272" s="25" t="s">
        <v>519</v>
      </c>
      <c r="D272" s="25" t="s">
        <v>35</v>
      </c>
      <c r="E272" s="26" t="s">
        <v>1333</v>
      </c>
      <c r="G272" s="28"/>
      <c r="K272" s="29" t="str">
        <f t="shared" si="13"/>
        <v>Meter5</v>
      </c>
      <c r="L272" s="29" t="str">
        <f t="shared" si="14"/>
        <v>total_kva</v>
      </c>
    </row>
    <row r="273" spans="1:12" s="27" customFormat="1" hidden="1" x14ac:dyDescent="0.25">
      <c r="A273" s="25">
        <v>257</v>
      </c>
      <c r="B273" s="26" t="s">
        <v>520</v>
      </c>
      <c r="C273" s="25" t="s">
        <v>521</v>
      </c>
      <c r="D273" s="25" t="s">
        <v>35</v>
      </c>
      <c r="E273" s="26" t="s">
        <v>1334</v>
      </c>
      <c r="G273" s="28"/>
      <c r="K273" s="29" t="str">
        <f t="shared" si="13"/>
        <v>Meter5</v>
      </c>
      <c r="L273" s="29" t="str">
        <f t="shared" si="14"/>
        <v>total_kvar</v>
      </c>
    </row>
    <row r="274" spans="1:12" s="27" customFormat="1" hidden="1" x14ac:dyDescent="0.25">
      <c r="A274" s="25">
        <v>258</v>
      </c>
      <c r="B274" s="26" t="s">
        <v>522</v>
      </c>
      <c r="C274" s="25" t="s">
        <v>523</v>
      </c>
      <c r="D274" s="25" t="s">
        <v>35</v>
      </c>
      <c r="E274" s="26" t="s">
        <v>1335</v>
      </c>
      <c r="G274" s="28"/>
      <c r="K274" s="29" t="str">
        <f t="shared" ref="K274:K340" si="15">LEFT(B274, SEARCH("_",B274 ) - 1)</f>
        <v>Meter5</v>
      </c>
      <c r="L274" s="29" t="str">
        <f t="shared" si="14"/>
        <v>PF1</v>
      </c>
    </row>
    <row r="275" spans="1:12" s="27" customFormat="1" hidden="1" x14ac:dyDescent="0.25">
      <c r="A275" s="25">
        <v>259</v>
      </c>
      <c r="B275" s="26" t="s">
        <v>524</v>
      </c>
      <c r="C275" s="25" t="s">
        <v>525</v>
      </c>
      <c r="D275" s="25" t="s">
        <v>35</v>
      </c>
      <c r="E275" s="26" t="s">
        <v>1336</v>
      </c>
      <c r="G275" s="28"/>
      <c r="K275" s="29" t="str">
        <f t="shared" si="15"/>
        <v>Meter5</v>
      </c>
      <c r="L275" s="29" t="str">
        <f t="shared" si="14"/>
        <v>PF2</v>
      </c>
    </row>
    <row r="276" spans="1:12" s="27" customFormat="1" hidden="1" x14ac:dyDescent="0.25">
      <c r="A276" s="25">
        <v>260</v>
      </c>
      <c r="B276" s="26" t="s">
        <v>526</v>
      </c>
      <c r="C276" s="25" t="s">
        <v>527</v>
      </c>
      <c r="D276" s="25" t="s">
        <v>35</v>
      </c>
      <c r="E276" s="26" t="s">
        <v>1337</v>
      </c>
      <c r="G276" s="28"/>
      <c r="K276" s="29" t="str">
        <f t="shared" si="15"/>
        <v>Meter5</v>
      </c>
      <c r="L276" s="29" t="str">
        <f t="shared" si="14"/>
        <v>PF3</v>
      </c>
    </row>
    <row r="277" spans="1:12" s="27" customFormat="1" hidden="1" x14ac:dyDescent="0.25">
      <c r="A277" s="25">
        <v>261</v>
      </c>
      <c r="B277" s="26" t="s">
        <v>528</v>
      </c>
      <c r="C277" s="25" t="s">
        <v>529</v>
      </c>
      <c r="D277" s="25" t="s">
        <v>35</v>
      </c>
      <c r="E277" s="26" t="s">
        <v>1338</v>
      </c>
      <c r="G277" s="28"/>
      <c r="H277" s="27" t="s">
        <v>1405</v>
      </c>
      <c r="K277" s="29" t="str">
        <f t="shared" si="15"/>
        <v>Meter5</v>
      </c>
      <c r="L277" s="29" t="str">
        <f t="shared" si="14"/>
        <v>PF</v>
      </c>
    </row>
    <row r="278" spans="1:12" s="27" customFormat="1" hidden="1" x14ac:dyDescent="0.25">
      <c r="A278" s="25">
        <v>262</v>
      </c>
      <c r="B278" s="26" t="s">
        <v>530</v>
      </c>
      <c r="C278" s="25" t="s">
        <v>531</v>
      </c>
      <c r="D278" s="25" t="s">
        <v>35</v>
      </c>
      <c r="E278" s="26" t="s">
        <v>1339</v>
      </c>
      <c r="G278" s="28"/>
      <c r="H278" s="27" t="s">
        <v>1339</v>
      </c>
      <c r="K278" s="29" t="str">
        <f t="shared" si="15"/>
        <v>Meter5</v>
      </c>
      <c r="L278" s="29" t="str">
        <f t="shared" si="14"/>
        <v>freq</v>
      </c>
    </row>
    <row r="279" spans="1:12" s="27" customFormat="1" hidden="1" x14ac:dyDescent="0.25">
      <c r="A279" s="25">
        <v>263</v>
      </c>
      <c r="B279" s="26" t="s">
        <v>532</v>
      </c>
      <c r="C279" s="25" t="s">
        <v>533</v>
      </c>
      <c r="D279" s="25" t="s">
        <v>35</v>
      </c>
      <c r="E279" s="26" t="s">
        <v>1340</v>
      </c>
      <c r="G279" s="28"/>
      <c r="H279" s="27" t="s">
        <v>1340</v>
      </c>
      <c r="K279" s="29" t="str">
        <f t="shared" si="15"/>
        <v>Meter5</v>
      </c>
      <c r="L279" s="29" t="str">
        <f t="shared" ref="L279:L347" si="16">RIGHT(B279, LEN(B279)-SEARCH("_",B279 ))</f>
        <v>kwh</v>
      </c>
    </row>
    <row r="280" spans="1:12" s="27" customFormat="1" hidden="1" x14ac:dyDescent="0.25">
      <c r="A280" s="25">
        <v>264</v>
      </c>
      <c r="B280" s="26" t="s">
        <v>534</v>
      </c>
      <c r="C280" s="25" t="s">
        <v>535</v>
      </c>
      <c r="D280" s="25" t="s">
        <v>35</v>
      </c>
      <c r="E280" s="26" t="s">
        <v>1341</v>
      </c>
      <c r="G280" s="28"/>
      <c r="K280" s="29" t="str">
        <f t="shared" si="15"/>
        <v>Meter5</v>
      </c>
      <c r="L280" s="29" t="str">
        <f t="shared" si="16"/>
        <v>kvah</v>
      </c>
    </row>
    <row r="281" spans="1:12" s="27" customFormat="1" hidden="1" x14ac:dyDescent="0.25">
      <c r="A281" s="25">
        <v>265</v>
      </c>
      <c r="B281" s="26" t="s">
        <v>536</v>
      </c>
      <c r="C281" s="25" t="s">
        <v>537</v>
      </c>
      <c r="D281" s="25" t="s">
        <v>35</v>
      </c>
      <c r="E281" s="26" t="s">
        <v>1342</v>
      </c>
      <c r="G281" s="28"/>
      <c r="K281" s="29" t="str">
        <f t="shared" si="15"/>
        <v>Meter5</v>
      </c>
      <c r="L281" s="29" t="str">
        <f t="shared" si="16"/>
        <v>kvarh</v>
      </c>
    </row>
    <row r="282" spans="1:12" s="27" customFormat="1" hidden="1" x14ac:dyDescent="0.25">
      <c r="A282" s="25">
        <v>266</v>
      </c>
      <c r="B282" s="26" t="s">
        <v>538</v>
      </c>
      <c r="C282" s="25" t="s">
        <v>539</v>
      </c>
      <c r="D282" s="25" t="s">
        <v>7</v>
      </c>
      <c r="E282" s="26" t="s">
        <v>1343</v>
      </c>
      <c r="G282" s="28"/>
      <c r="K282" s="29" t="str">
        <f t="shared" si="15"/>
        <v>Pump5</v>
      </c>
      <c r="L282" s="29" t="str">
        <f t="shared" si="16"/>
        <v>Ctrl_run_Pump</v>
      </c>
    </row>
    <row r="283" spans="1:12" s="27" customFormat="1" hidden="1" x14ac:dyDescent="0.25">
      <c r="A283" s="25">
        <v>267</v>
      </c>
      <c r="B283" s="26" t="s">
        <v>540</v>
      </c>
      <c r="C283" s="25" t="s">
        <v>541</v>
      </c>
      <c r="D283" s="25" t="s">
        <v>7</v>
      </c>
      <c r="E283" s="26" t="s">
        <v>1354</v>
      </c>
      <c r="G283" s="28"/>
      <c r="H283" s="27" t="s">
        <v>1496</v>
      </c>
      <c r="K283" s="29" t="str">
        <f t="shared" si="15"/>
        <v>Pump5</v>
      </c>
      <c r="L283" s="29" t="str">
        <f t="shared" si="16"/>
        <v>FB_Fault</v>
      </c>
    </row>
    <row r="284" spans="1:12" s="27" customFormat="1" hidden="1" x14ac:dyDescent="0.25">
      <c r="A284" s="25">
        <v>268</v>
      </c>
      <c r="B284" s="26" t="s">
        <v>542</v>
      </c>
      <c r="C284" s="25" t="s">
        <v>543</v>
      </c>
      <c r="D284" s="25" t="s">
        <v>7</v>
      </c>
      <c r="E284" s="26" t="s">
        <v>1344</v>
      </c>
      <c r="G284" s="28"/>
      <c r="K284" s="29" t="str">
        <f t="shared" si="15"/>
        <v>Pump5</v>
      </c>
      <c r="L284" s="29" t="str">
        <f t="shared" si="16"/>
        <v>Ctrl_PB_Run</v>
      </c>
    </row>
    <row r="285" spans="1:12" s="27" customFormat="1" hidden="1" x14ac:dyDescent="0.25">
      <c r="A285" s="25">
        <v>269</v>
      </c>
      <c r="B285" s="26" t="s">
        <v>544</v>
      </c>
      <c r="C285" s="25" t="s">
        <v>545</v>
      </c>
      <c r="D285" s="25" t="s">
        <v>7</v>
      </c>
      <c r="E285" s="26" t="s">
        <v>1345</v>
      </c>
      <c r="G285" s="28"/>
      <c r="K285" s="29" t="str">
        <f t="shared" si="15"/>
        <v>Pump5</v>
      </c>
      <c r="L285" s="29" t="str">
        <f t="shared" si="16"/>
        <v>Ctrl_PB_Stop</v>
      </c>
    </row>
    <row r="286" spans="1:12" s="27" customFormat="1" hidden="1" x14ac:dyDescent="0.25">
      <c r="A286" s="25">
        <v>270</v>
      </c>
      <c r="B286" s="26" t="s">
        <v>546</v>
      </c>
      <c r="C286" s="25" t="s">
        <v>547</v>
      </c>
      <c r="D286" s="25" t="s">
        <v>7</v>
      </c>
      <c r="E286" s="26" t="s">
        <v>1346</v>
      </c>
      <c r="G286" s="28"/>
      <c r="K286" s="29" t="str">
        <f t="shared" si="15"/>
        <v>Pump5</v>
      </c>
      <c r="L286" s="29" t="str">
        <f t="shared" si="16"/>
        <v>Ctrl_PB_RST</v>
      </c>
    </row>
    <row r="287" spans="1:12" s="30" customFormat="1" hidden="1" x14ac:dyDescent="0.25">
      <c r="A287" s="23">
        <v>50</v>
      </c>
      <c r="B287" s="24" t="s">
        <v>1572</v>
      </c>
      <c r="C287" s="23" t="s">
        <v>1586</v>
      </c>
      <c r="D287" s="23" t="s">
        <v>7</v>
      </c>
      <c r="E287" s="24" t="s">
        <v>1558</v>
      </c>
      <c r="G287" s="28"/>
      <c r="K287" s="31" t="str">
        <f t="shared" si="15"/>
        <v>Pump5</v>
      </c>
      <c r="L287" s="31" t="str">
        <f t="shared" si="16"/>
        <v>Ctrl_PB_Maintenance</v>
      </c>
    </row>
    <row r="288" spans="1:12" s="30" customFormat="1" hidden="1" x14ac:dyDescent="0.25">
      <c r="A288" s="23">
        <v>50</v>
      </c>
      <c r="B288" s="24" t="s">
        <v>1573</v>
      </c>
      <c r="C288" s="23" t="s">
        <v>1587</v>
      </c>
      <c r="D288" s="23" t="s">
        <v>7</v>
      </c>
      <c r="E288" s="24" t="s">
        <v>1559</v>
      </c>
      <c r="G288" s="28"/>
      <c r="H288" s="30" t="s">
        <v>1563</v>
      </c>
      <c r="K288" s="31" t="str">
        <f t="shared" si="15"/>
        <v>Pump5</v>
      </c>
      <c r="L288" s="31" t="str">
        <f t="shared" si="16"/>
        <v>FB_Maintenance</v>
      </c>
    </row>
    <row r="289" spans="1:12" s="27" customFormat="1" hidden="1" x14ac:dyDescent="0.25">
      <c r="A289" s="25">
        <v>271</v>
      </c>
      <c r="B289" s="26" t="s">
        <v>548</v>
      </c>
      <c r="C289" s="25" t="s">
        <v>549</v>
      </c>
      <c r="D289" s="25" t="s">
        <v>24</v>
      </c>
      <c r="E289" s="26" t="s">
        <v>1347</v>
      </c>
      <c r="G289" s="28"/>
      <c r="H289" s="27" t="s">
        <v>1518</v>
      </c>
      <c r="K289" s="29" t="str">
        <f t="shared" si="15"/>
        <v>Pump5</v>
      </c>
      <c r="L289" s="29" t="str">
        <f t="shared" si="16"/>
        <v>Time_Run_M</v>
      </c>
    </row>
    <row r="290" spans="1:12" s="27" customFormat="1" hidden="1" x14ac:dyDescent="0.25">
      <c r="A290" s="25">
        <v>272</v>
      </c>
      <c r="B290" s="26" t="s">
        <v>550</v>
      </c>
      <c r="C290" s="25" t="s">
        <v>551</v>
      </c>
      <c r="D290" s="25" t="s">
        <v>24</v>
      </c>
      <c r="E290" s="26" t="s">
        <v>1348</v>
      </c>
      <c r="G290" s="28"/>
      <c r="H290" s="27" t="s">
        <v>1518</v>
      </c>
      <c r="K290" s="29" t="str">
        <f t="shared" si="15"/>
        <v>Pump5</v>
      </c>
      <c r="L290" s="29" t="str">
        <f t="shared" si="16"/>
        <v>Time_Run_H</v>
      </c>
    </row>
    <row r="291" spans="1:12" s="27" customFormat="1" hidden="1" x14ac:dyDescent="0.25">
      <c r="A291" s="25">
        <v>273</v>
      </c>
      <c r="B291" s="26" t="s">
        <v>552</v>
      </c>
      <c r="C291" s="25" t="s">
        <v>553</v>
      </c>
      <c r="D291" s="25" t="s">
        <v>24</v>
      </c>
      <c r="E291" s="26" t="s">
        <v>1349</v>
      </c>
      <c r="G291" s="28"/>
      <c r="H291" s="27" t="s">
        <v>1517</v>
      </c>
      <c r="K291" s="29" t="str">
        <f t="shared" si="15"/>
        <v>Pump5</v>
      </c>
      <c r="L291" s="29" t="str">
        <f t="shared" si="16"/>
        <v>Total_Time_Run_M</v>
      </c>
    </row>
    <row r="292" spans="1:12" s="27" customFormat="1" hidden="1" x14ac:dyDescent="0.25">
      <c r="A292" s="25">
        <v>274</v>
      </c>
      <c r="B292" s="26" t="s">
        <v>554</v>
      </c>
      <c r="C292" s="25" t="s">
        <v>555</v>
      </c>
      <c r="D292" s="25" t="s">
        <v>24</v>
      </c>
      <c r="E292" s="26" t="s">
        <v>1350</v>
      </c>
      <c r="G292" s="28"/>
      <c r="H292" s="27" t="s">
        <v>1517</v>
      </c>
      <c r="K292" s="29" t="str">
        <f t="shared" si="15"/>
        <v>Pump5</v>
      </c>
      <c r="L292" s="29" t="str">
        <f t="shared" si="16"/>
        <v>Total_Time_Run_H</v>
      </c>
    </row>
    <row r="293" spans="1:12" s="27" customFormat="1" hidden="1" x14ac:dyDescent="0.25">
      <c r="A293" s="25">
        <v>275</v>
      </c>
      <c r="B293" s="26" t="s">
        <v>556</v>
      </c>
      <c r="C293" s="25" t="s">
        <v>557</v>
      </c>
      <c r="D293" s="25" t="s">
        <v>24</v>
      </c>
      <c r="E293" s="26" t="s">
        <v>1351</v>
      </c>
      <c r="G293" s="28"/>
      <c r="K293" s="29" t="str">
        <f t="shared" si="15"/>
        <v>Pump5</v>
      </c>
      <c r="L293" s="29" t="str">
        <f t="shared" si="16"/>
        <v>NumberOfclose</v>
      </c>
    </row>
    <row r="294" spans="1:12" s="27" customFormat="1" hidden="1" x14ac:dyDescent="0.25">
      <c r="A294" s="25">
        <v>276</v>
      </c>
      <c r="B294" s="26" t="s">
        <v>558</v>
      </c>
      <c r="C294" s="25" t="s">
        <v>559</v>
      </c>
      <c r="D294" s="25" t="s">
        <v>7</v>
      </c>
      <c r="E294" s="26" t="s">
        <v>1355</v>
      </c>
      <c r="G294" s="28" t="s">
        <v>1531</v>
      </c>
      <c r="K294" s="29" t="str">
        <f t="shared" si="15"/>
        <v>Pump6</v>
      </c>
      <c r="L294" s="29" t="str">
        <f t="shared" si="16"/>
        <v>FB_auto</v>
      </c>
    </row>
    <row r="295" spans="1:12" s="27" customFormat="1" hidden="1" x14ac:dyDescent="0.25">
      <c r="A295" s="25">
        <v>277</v>
      </c>
      <c r="B295" s="26" t="s">
        <v>560</v>
      </c>
      <c r="C295" s="25" t="s">
        <v>561</v>
      </c>
      <c r="D295" s="25" t="s">
        <v>7</v>
      </c>
      <c r="E295" s="26" t="s">
        <v>1306</v>
      </c>
      <c r="G295" s="28"/>
      <c r="H295" s="27" t="s">
        <v>1505</v>
      </c>
      <c r="K295" s="29" t="str">
        <f t="shared" si="15"/>
        <v>Pump6</v>
      </c>
      <c r="L295" s="29" t="str">
        <f t="shared" si="16"/>
        <v>FB_Run</v>
      </c>
    </row>
    <row r="296" spans="1:12" s="27" customFormat="1" hidden="1" x14ac:dyDescent="0.25">
      <c r="A296" s="25">
        <v>278</v>
      </c>
      <c r="B296" s="26" t="s">
        <v>562</v>
      </c>
      <c r="C296" s="25" t="s">
        <v>563</v>
      </c>
      <c r="D296" s="25" t="s">
        <v>7</v>
      </c>
      <c r="E296" s="26" t="s">
        <v>1307</v>
      </c>
      <c r="G296" s="28"/>
      <c r="K296" s="29" t="str">
        <f t="shared" si="15"/>
        <v>Pump6</v>
      </c>
      <c r="L296" s="29" t="str">
        <f t="shared" si="16"/>
        <v>FB_Fault_V</v>
      </c>
    </row>
    <row r="297" spans="1:12" s="27" customFormat="1" hidden="1" x14ac:dyDescent="0.25">
      <c r="A297" s="25">
        <v>279</v>
      </c>
      <c r="B297" s="26" t="s">
        <v>564</v>
      </c>
      <c r="C297" s="25" t="s">
        <v>565</v>
      </c>
      <c r="D297" s="25" t="s">
        <v>7</v>
      </c>
      <c r="E297" s="26" t="s">
        <v>1307</v>
      </c>
      <c r="G297" s="28"/>
      <c r="K297" s="29" t="str">
        <f t="shared" si="15"/>
        <v>Pump6</v>
      </c>
      <c r="L297" s="29" t="str">
        <f t="shared" si="16"/>
        <v>FB_Fault_SS</v>
      </c>
    </row>
    <row r="298" spans="1:12" s="27" customFormat="1" hidden="1" x14ac:dyDescent="0.25">
      <c r="A298" s="25">
        <v>280</v>
      </c>
      <c r="B298" s="26" t="s">
        <v>566</v>
      </c>
      <c r="C298" s="25" t="s">
        <v>567</v>
      </c>
      <c r="D298" s="25" t="s">
        <v>7</v>
      </c>
      <c r="E298" s="26" t="s">
        <v>1356</v>
      </c>
      <c r="G298" s="28"/>
      <c r="K298" s="29" t="str">
        <f t="shared" si="15"/>
        <v>Pump6</v>
      </c>
      <c r="L298" s="29" t="str">
        <f t="shared" si="16"/>
        <v>FB_Fault_Temp</v>
      </c>
    </row>
    <row r="299" spans="1:12" s="27" customFormat="1" hidden="1" x14ac:dyDescent="0.25">
      <c r="A299" s="25">
        <v>281</v>
      </c>
      <c r="B299" s="26" t="s">
        <v>568</v>
      </c>
      <c r="C299" s="25" t="s">
        <v>569</v>
      </c>
      <c r="D299" s="25" t="s">
        <v>7</v>
      </c>
      <c r="E299" s="26" t="s">
        <v>1307</v>
      </c>
      <c r="G299" s="28"/>
      <c r="K299" s="29" t="str">
        <f t="shared" si="15"/>
        <v>Pump6</v>
      </c>
      <c r="L299" s="29" t="str">
        <f t="shared" si="16"/>
        <v>FB_Fault_Curent</v>
      </c>
    </row>
    <row r="300" spans="1:12" s="27" customFormat="1" hidden="1" x14ac:dyDescent="0.25">
      <c r="A300" s="25">
        <v>282</v>
      </c>
      <c r="B300" s="26" t="s">
        <v>570</v>
      </c>
      <c r="C300" s="25" t="s">
        <v>571</v>
      </c>
      <c r="D300" s="25" t="s">
        <v>7</v>
      </c>
      <c r="E300" s="26" t="s">
        <v>1357</v>
      </c>
      <c r="G300" s="28"/>
      <c r="K300" s="29" t="str">
        <f t="shared" si="15"/>
        <v>Pump6</v>
      </c>
      <c r="L300" s="29" t="str">
        <f t="shared" si="16"/>
        <v>Clock_1m</v>
      </c>
    </row>
    <row r="301" spans="1:12" s="30" customFormat="1" x14ac:dyDescent="0.25">
      <c r="A301" s="23">
        <v>283</v>
      </c>
      <c r="B301" s="24" t="s">
        <v>1545</v>
      </c>
      <c r="C301" s="23" t="s">
        <v>573</v>
      </c>
      <c r="D301" s="23" t="s">
        <v>7</v>
      </c>
      <c r="E301" s="24" t="s">
        <v>1358</v>
      </c>
      <c r="G301" s="28"/>
      <c r="H301" s="17" t="s">
        <v>1524</v>
      </c>
      <c r="K301" s="31" t="str">
        <f t="shared" si="15"/>
        <v>Pump6</v>
      </c>
      <c r="L301" s="31" t="str">
        <f t="shared" si="16"/>
        <v>FB_ON_MCCB</v>
      </c>
    </row>
    <row r="302" spans="1:12" s="30" customFormat="1" hidden="1" x14ac:dyDescent="0.25">
      <c r="A302" s="23">
        <v>8</v>
      </c>
      <c r="B302" s="32" t="s">
        <v>1546</v>
      </c>
      <c r="C302" s="23" t="s">
        <v>1536</v>
      </c>
      <c r="D302" s="23" t="s">
        <v>7</v>
      </c>
      <c r="E302" s="24" t="s">
        <v>1393</v>
      </c>
      <c r="G302" s="28"/>
      <c r="H302" s="30" t="s">
        <v>1495</v>
      </c>
      <c r="K302" s="31" t="str">
        <f t="shared" si="15"/>
        <v>Pump6</v>
      </c>
      <c r="L302" s="31" t="str">
        <f t="shared" si="16"/>
        <v>FB_Stop</v>
      </c>
    </row>
    <row r="303" spans="1:12" s="27" customFormat="1" hidden="1" x14ac:dyDescent="0.25">
      <c r="A303" s="25">
        <v>284</v>
      </c>
      <c r="B303" s="26" t="s">
        <v>574</v>
      </c>
      <c r="C303" s="25" t="s">
        <v>575</v>
      </c>
      <c r="D303" s="25" t="s">
        <v>24</v>
      </c>
      <c r="E303" s="26" t="s">
        <v>1352</v>
      </c>
      <c r="G303" s="28"/>
      <c r="H303" s="27" t="s">
        <v>1514</v>
      </c>
      <c r="K303" s="29" t="str">
        <f t="shared" si="15"/>
        <v>Pump6</v>
      </c>
      <c r="L303" s="29" t="str">
        <f t="shared" si="16"/>
        <v>FB_Temp_DEBearing</v>
      </c>
    </row>
    <row r="304" spans="1:12" s="27" customFormat="1" hidden="1" x14ac:dyDescent="0.25">
      <c r="A304" s="25">
        <v>285</v>
      </c>
      <c r="B304" s="26" t="s">
        <v>576</v>
      </c>
      <c r="C304" s="25" t="s">
        <v>577</v>
      </c>
      <c r="D304" s="25" t="s">
        <v>24</v>
      </c>
      <c r="E304" s="26" t="s">
        <v>1353</v>
      </c>
      <c r="G304" s="28"/>
      <c r="H304" s="27" t="s">
        <v>1515</v>
      </c>
      <c r="K304" s="29" t="str">
        <f t="shared" si="15"/>
        <v>Pump6</v>
      </c>
      <c r="L304" s="29" t="str">
        <f t="shared" si="16"/>
        <v>FB_Temp_NDEBearing</v>
      </c>
    </row>
    <row r="305" spans="1:12" s="27" customFormat="1" hidden="1" x14ac:dyDescent="0.25">
      <c r="A305" s="25">
        <v>286</v>
      </c>
      <c r="B305" s="26" t="s">
        <v>578</v>
      </c>
      <c r="C305" s="25" t="s">
        <v>579</v>
      </c>
      <c r="D305" s="25" t="s">
        <v>24</v>
      </c>
      <c r="E305" s="26" t="s">
        <v>1308</v>
      </c>
      <c r="G305" s="28"/>
      <c r="H305" s="27" t="s">
        <v>1511</v>
      </c>
      <c r="K305" s="29" t="str">
        <f t="shared" si="15"/>
        <v>Pump6</v>
      </c>
      <c r="L305" s="29" t="str">
        <f t="shared" si="16"/>
        <v>FB_Temp_PhaseA</v>
      </c>
    </row>
    <row r="306" spans="1:12" s="27" customFormat="1" hidden="1" x14ac:dyDescent="0.25">
      <c r="A306" s="25">
        <v>287</v>
      </c>
      <c r="B306" s="26" t="s">
        <v>580</v>
      </c>
      <c r="C306" s="25" t="s">
        <v>581</v>
      </c>
      <c r="D306" s="25" t="s">
        <v>24</v>
      </c>
      <c r="E306" s="26" t="s">
        <v>1309</v>
      </c>
      <c r="G306" s="28"/>
      <c r="H306" s="27" t="s">
        <v>1512</v>
      </c>
      <c r="K306" s="29" t="str">
        <f t="shared" si="15"/>
        <v>Pump6</v>
      </c>
      <c r="L306" s="29" t="str">
        <f t="shared" si="16"/>
        <v>FB_Temp_PhaseB</v>
      </c>
    </row>
    <row r="307" spans="1:12" s="27" customFormat="1" hidden="1" x14ac:dyDescent="0.25">
      <c r="A307" s="25">
        <v>288</v>
      </c>
      <c r="B307" s="26" t="s">
        <v>582</v>
      </c>
      <c r="C307" s="25" t="s">
        <v>583</v>
      </c>
      <c r="D307" s="25" t="s">
        <v>24</v>
      </c>
      <c r="E307" s="26" t="s">
        <v>1310</v>
      </c>
      <c r="G307" s="28"/>
      <c r="H307" s="27" t="s">
        <v>1513</v>
      </c>
      <c r="K307" s="29" t="str">
        <f t="shared" si="15"/>
        <v>Pump6</v>
      </c>
      <c r="L307" s="29" t="str">
        <f t="shared" si="16"/>
        <v>FB_Temp_PhaseC</v>
      </c>
    </row>
    <row r="308" spans="1:12" s="27" customFormat="1" hidden="1" x14ac:dyDescent="0.25">
      <c r="A308" s="25">
        <v>289</v>
      </c>
      <c r="B308" s="26" t="s">
        <v>584</v>
      </c>
      <c r="C308" s="25" t="s">
        <v>585</v>
      </c>
      <c r="D308" s="25" t="s">
        <v>35</v>
      </c>
      <c r="E308" s="26" t="s">
        <v>1315</v>
      </c>
      <c r="G308" s="28"/>
      <c r="K308" s="29" t="str">
        <f t="shared" si="15"/>
        <v>Meter6</v>
      </c>
      <c r="L308" s="29" t="str">
        <f t="shared" si="16"/>
        <v>U1</v>
      </c>
    </row>
    <row r="309" spans="1:12" s="27" customFormat="1" hidden="1" x14ac:dyDescent="0.25">
      <c r="A309" s="25">
        <v>290</v>
      </c>
      <c r="B309" s="26" t="s">
        <v>586</v>
      </c>
      <c r="C309" s="25" t="s">
        <v>587</v>
      </c>
      <c r="D309" s="25" t="s">
        <v>35</v>
      </c>
      <c r="E309" s="26" t="s">
        <v>1316</v>
      </c>
      <c r="G309" s="28"/>
      <c r="K309" s="29" t="str">
        <f t="shared" si="15"/>
        <v>Meter6</v>
      </c>
      <c r="L309" s="29" t="str">
        <f t="shared" si="16"/>
        <v>U2</v>
      </c>
    </row>
    <row r="310" spans="1:12" s="27" customFormat="1" hidden="1" x14ac:dyDescent="0.25">
      <c r="A310" s="25">
        <v>291</v>
      </c>
      <c r="B310" s="26" t="s">
        <v>588</v>
      </c>
      <c r="C310" s="25" t="s">
        <v>589</v>
      </c>
      <c r="D310" s="25" t="s">
        <v>35</v>
      </c>
      <c r="E310" s="26" t="s">
        <v>1317</v>
      </c>
      <c r="G310" s="28"/>
      <c r="K310" s="29" t="str">
        <f t="shared" si="15"/>
        <v>Meter6</v>
      </c>
      <c r="L310" s="29" t="str">
        <f t="shared" si="16"/>
        <v>U3</v>
      </c>
    </row>
    <row r="311" spans="1:12" s="27" customFormat="1" hidden="1" x14ac:dyDescent="0.25">
      <c r="A311" s="25">
        <v>292</v>
      </c>
      <c r="B311" s="26" t="s">
        <v>590</v>
      </c>
      <c r="C311" s="25" t="s">
        <v>591</v>
      </c>
      <c r="D311" s="25" t="s">
        <v>35</v>
      </c>
      <c r="E311" s="26" t="s">
        <v>1318</v>
      </c>
      <c r="G311" s="28"/>
      <c r="K311" s="29" t="str">
        <f t="shared" si="15"/>
        <v>Meter6</v>
      </c>
      <c r="L311" s="29" t="str">
        <f t="shared" si="16"/>
        <v>U_Ph</v>
      </c>
    </row>
    <row r="312" spans="1:12" s="27" customFormat="1" hidden="1" x14ac:dyDescent="0.25">
      <c r="A312" s="25">
        <v>293</v>
      </c>
      <c r="B312" s="26" t="s">
        <v>592</v>
      </c>
      <c r="C312" s="25" t="s">
        <v>593</v>
      </c>
      <c r="D312" s="25" t="s">
        <v>35</v>
      </c>
      <c r="E312" s="26" t="s">
        <v>1319</v>
      </c>
      <c r="G312" s="28"/>
      <c r="H312" s="27" t="s">
        <v>1319</v>
      </c>
      <c r="K312" s="29" t="str">
        <f t="shared" si="15"/>
        <v>Meter6</v>
      </c>
      <c r="L312" s="29" t="str">
        <f t="shared" si="16"/>
        <v>U12</v>
      </c>
    </row>
    <row r="313" spans="1:12" s="27" customFormat="1" hidden="1" x14ac:dyDescent="0.25">
      <c r="A313" s="25">
        <v>294</v>
      </c>
      <c r="B313" s="26" t="s">
        <v>594</v>
      </c>
      <c r="C313" s="25" t="s">
        <v>595</v>
      </c>
      <c r="D313" s="25" t="s">
        <v>35</v>
      </c>
      <c r="E313" s="26" t="s">
        <v>1320</v>
      </c>
      <c r="G313" s="28"/>
      <c r="H313" s="27" t="s">
        <v>1320</v>
      </c>
      <c r="K313" s="29" t="str">
        <f t="shared" si="15"/>
        <v>Meter6</v>
      </c>
      <c r="L313" s="29" t="str">
        <f t="shared" si="16"/>
        <v>U23</v>
      </c>
    </row>
    <row r="314" spans="1:12" s="27" customFormat="1" hidden="1" x14ac:dyDescent="0.25">
      <c r="A314" s="25">
        <v>295</v>
      </c>
      <c r="B314" s="26" t="s">
        <v>596</v>
      </c>
      <c r="C314" s="25" t="s">
        <v>597</v>
      </c>
      <c r="D314" s="25" t="s">
        <v>35</v>
      </c>
      <c r="E314" s="26" t="s">
        <v>1321</v>
      </c>
      <c r="G314" s="28"/>
      <c r="H314" s="27" t="s">
        <v>1516</v>
      </c>
      <c r="K314" s="29" t="str">
        <f t="shared" si="15"/>
        <v>Meter6</v>
      </c>
      <c r="L314" s="29" t="str">
        <f t="shared" si="16"/>
        <v>U31</v>
      </c>
    </row>
    <row r="315" spans="1:12" s="27" customFormat="1" hidden="1" x14ac:dyDescent="0.25">
      <c r="A315" s="25">
        <v>296</v>
      </c>
      <c r="B315" s="26" t="s">
        <v>598</v>
      </c>
      <c r="C315" s="25" t="s">
        <v>599</v>
      </c>
      <c r="D315" s="25" t="s">
        <v>35</v>
      </c>
      <c r="E315" s="26" t="s">
        <v>1322</v>
      </c>
      <c r="G315" s="28"/>
      <c r="K315" s="29" t="str">
        <f t="shared" si="15"/>
        <v>Meter6</v>
      </c>
      <c r="L315" s="29" t="str">
        <f t="shared" si="16"/>
        <v>Uline</v>
      </c>
    </row>
    <row r="316" spans="1:12" s="27" customFormat="1" hidden="1" x14ac:dyDescent="0.25">
      <c r="A316" s="25">
        <v>297</v>
      </c>
      <c r="B316" s="26" t="s">
        <v>600</v>
      </c>
      <c r="C316" s="25" t="s">
        <v>601</v>
      </c>
      <c r="D316" s="25" t="s">
        <v>35</v>
      </c>
      <c r="E316" s="26" t="s">
        <v>1312</v>
      </c>
      <c r="G316" s="28"/>
      <c r="H316" s="29"/>
      <c r="K316" s="29" t="str">
        <f t="shared" si="15"/>
        <v>Meter6</v>
      </c>
      <c r="L316" s="29" t="str">
        <f t="shared" si="16"/>
        <v>I1</v>
      </c>
    </row>
    <row r="317" spans="1:12" s="27" customFormat="1" hidden="1" x14ac:dyDescent="0.25">
      <c r="A317" s="25">
        <v>298</v>
      </c>
      <c r="B317" s="26" t="s">
        <v>602</v>
      </c>
      <c r="C317" s="25" t="s">
        <v>603</v>
      </c>
      <c r="D317" s="25" t="s">
        <v>35</v>
      </c>
      <c r="E317" s="26" t="s">
        <v>1313</v>
      </c>
      <c r="G317" s="28"/>
      <c r="H317" s="29"/>
      <c r="K317" s="29" t="str">
        <f t="shared" si="15"/>
        <v>Meter6</v>
      </c>
      <c r="L317" s="29" t="str">
        <f t="shared" si="16"/>
        <v>I2</v>
      </c>
    </row>
    <row r="318" spans="1:12" s="27" customFormat="1" hidden="1" x14ac:dyDescent="0.25">
      <c r="A318" s="25">
        <v>299</v>
      </c>
      <c r="B318" s="26" t="s">
        <v>604</v>
      </c>
      <c r="C318" s="25" t="s">
        <v>605</v>
      </c>
      <c r="D318" s="25" t="s">
        <v>35</v>
      </c>
      <c r="E318" s="26" t="s">
        <v>1314</v>
      </c>
      <c r="G318" s="28"/>
      <c r="H318" s="29"/>
      <c r="K318" s="29" t="str">
        <f t="shared" si="15"/>
        <v>Meter6</v>
      </c>
      <c r="L318" s="29" t="str">
        <f t="shared" si="16"/>
        <v>I3</v>
      </c>
    </row>
    <row r="319" spans="1:12" s="27" customFormat="1" hidden="1" x14ac:dyDescent="0.25">
      <c r="A319" s="25">
        <v>300</v>
      </c>
      <c r="B319" s="26" t="s">
        <v>606</v>
      </c>
      <c r="C319" s="25" t="s">
        <v>607</v>
      </c>
      <c r="D319" s="25" t="s">
        <v>35</v>
      </c>
      <c r="E319" s="26" t="s">
        <v>1311</v>
      </c>
      <c r="G319" s="28"/>
      <c r="H319" s="26" t="s">
        <v>1311</v>
      </c>
      <c r="K319" s="29" t="str">
        <f t="shared" si="15"/>
        <v>Meter6</v>
      </c>
      <c r="L319" s="29" t="str">
        <f t="shared" si="16"/>
        <v>I_ph</v>
      </c>
    </row>
    <row r="320" spans="1:12" s="27" customFormat="1" hidden="1" x14ac:dyDescent="0.25">
      <c r="A320" s="25">
        <v>301</v>
      </c>
      <c r="B320" s="26" t="s">
        <v>608</v>
      </c>
      <c r="C320" s="25" t="s">
        <v>609</v>
      </c>
      <c r="D320" s="25" t="s">
        <v>35</v>
      </c>
      <c r="E320" s="26" t="s">
        <v>1323</v>
      </c>
      <c r="G320" s="28"/>
      <c r="K320" s="29" t="str">
        <f t="shared" si="15"/>
        <v>Meter6</v>
      </c>
      <c r="L320" s="29" t="str">
        <f t="shared" si="16"/>
        <v>kw1</v>
      </c>
    </row>
    <row r="321" spans="1:12" s="27" customFormat="1" hidden="1" x14ac:dyDescent="0.25">
      <c r="A321" s="25">
        <v>302</v>
      </c>
      <c r="B321" s="26" t="s">
        <v>610</v>
      </c>
      <c r="C321" s="25" t="s">
        <v>611</v>
      </c>
      <c r="D321" s="25" t="s">
        <v>35</v>
      </c>
      <c r="E321" s="26" t="s">
        <v>1324</v>
      </c>
      <c r="G321" s="28"/>
      <c r="K321" s="29" t="str">
        <f t="shared" si="15"/>
        <v>Meter6</v>
      </c>
      <c r="L321" s="29" t="str">
        <f t="shared" si="16"/>
        <v>kw2</v>
      </c>
    </row>
    <row r="322" spans="1:12" s="27" customFormat="1" hidden="1" x14ac:dyDescent="0.25">
      <c r="A322" s="25">
        <v>303</v>
      </c>
      <c r="B322" s="26" t="s">
        <v>612</v>
      </c>
      <c r="C322" s="25" t="s">
        <v>613</v>
      </c>
      <c r="D322" s="25" t="s">
        <v>35</v>
      </c>
      <c r="E322" s="26" t="s">
        <v>1325</v>
      </c>
      <c r="G322" s="28"/>
      <c r="K322" s="29" t="str">
        <f t="shared" si="15"/>
        <v>Meter6</v>
      </c>
      <c r="L322" s="29" t="str">
        <f t="shared" si="16"/>
        <v>kw3</v>
      </c>
    </row>
    <row r="323" spans="1:12" s="27" customFormat="1" hidden="1" x14ac:dyDescent="0.25">
      <c r="A323" s="25">
        <v>304</v>
      </c>
      <c r="B323" s="26" t="s">
        <v>614</v>
      </c>
      <c r="C323" s="25" t="s">
        <v>615</v>
      </c>
      <c r="D323" s="25" t="s">
        <v>35</v>
      </c>
      <c r="E323" s="26" t="s">
        <v>1326</v>
      </c>
      <c r="G323" s="28"/>
      <c r="K323" s="29" t="str">
        <f t="shared" si="15"/>
        <v>Meter6</v>
      </c>
      <c r="L323" s="29" t="str">
        <f t="shared" si="16"/>
        <v>kva1</v>
      </c>
    </row>
    <row r="324" spans="1:12" s="27" customFormat="1" hidden="1" x14ac:dyDescent="0.25">
      <c r="A324" s="25">
        <v>305</v>
      </c>
      <c r="B324" s="26" t="s">
        <v>616</v>
      </c>
      <c r="C324" s="25" t="s">
        <v>617</v>
      </c>
      <c r="D324" s="25" t="s">
        <v>35</v>
      </c>
      <c r="E324" s="26" t="s">
        <v>1327</v>
      </c>
      <c r="G324" s="28"/>
      <c r="K324" s="29" t="str">
        <f t="shared" si="15"/>
        <v>Meter6</v>
      </c>
      <c r="L324" s="29" t="str">
        <f t="shared" si="16"/>
        <v>kva2</v>
      </c>
    </row>
    <row r="325" spans="1:12" s="27" customFormat="1" hidden="1" x14ac:dyDescent="0.25">
      <c r="A325" s="25">
        <v>306</v>
      </c>
      <c r="B325" s="26" t="s">
        <v>618</v>
      </c>
      <c r="C325" s="25" t="s">
        <v>619</v>
      </c>
      <c r="D325" s="25" t="s">
        <v>35</v>
      </c>
      <c r="E325" s="26" t="s">
        <v>1328</v>
      </c>
      <c r="G325" s="28"/>
      <c r="K325" s="29" t="str">
        <f t="shared" si="15"/>
        <v>Meter6</v>
      </c>
      <c r="L325" s="29" t="str">
        <f t="shared" si="16"/>
        <v>kva3</v>
      </c>
    </row>
    <row r="326" spans="1:12" s="27" customFormat="1" hidden="1" x14ac:dyDescent="0.25">
      <c r="A326" s="25">
        <v>307</v>
      </c>
      <c r="B326" s="26" t="s">
        <v>620</v>
      </c>
      <c r="C326" s="25" t="s">
        <v>621</v>
      </c>
      <c r="D326" s="25" t="s">
        <v>35</v>
      </c>
      <c r="E326" s="26" t="s">
        <v>1329</v>
      </c>
      <c r="G326" s="28"/>
      <c r="K326" s="29" t="str">
        <f t="shared" si="15"/>
        <v>Meter6</v>
      </c>
      <c r="L326" s="29" t="str">
        <f t="shared" si="16"/>
        <v>kvar1</v>
      </c>
    </row>
    <row r="327" spans="1:12" s="27" customFormat="1" hidden="1" x14ac:dyDescent="0.25">
      <c r="A327" s="25">
        <v>308</v>
      </c>
      <c r="B327" s="26" t="s">
        <v>622</v>
      </c>
      <c r="C327" s="25" t="s">
        <v>623</v>
      </c>
      <c r="D327" s="25" t="s">
        <v>35</v>
      </c>
      <c r="E327" s="26" t="s">
        <v>1330</v>
      </c>
      <c r="G327" s="28"/>
      <c r="K327" s="29" t="str">
        <f t="shared" si="15"/>
        <v>Meter6</v>
      </c>
      <c r="L327" s="29" t="str">
        <f t="shared" si="16"/>
        <v>kvar2</v>
      </c>
    </row>
    <row r="328" spans="1:12" s="27" customFormat="1" hidden="1" x14ac:dyDescent="0.25">
      <c r="A328" s="25">
        <v>309</v>
      </c>
      <c r="B328" s="26" t="s">
        <v>624</v>
      </c>
      <c r="C328" s="25" t="s">
        <v>625</v>
      </c>
      <c r="D328" s="25" t="s">
        <v>35</v>
      </c>
      <c r="E328" s="26" t="s">
        <v>1331</v>
      </c>
      <c r="G328" s="28"/>
      <c r="K328" s="29" t="str">
        <f t="shared" si="15"/>
        <v>Meter6</v>
      </c>
      <c r="L328" s="29" t="str">
        <f t="shared" si="16"/>
        <v>kvar3</v>
      </c>
    </row>
    <row r="329" spans="1:12" s="27" customFormat="1" hidden="1" x14ac:dyDescent="0.25">
      <c r="A329" s="25">
        <v>310</v>
      </c>
      <c r="B329" s="26" t="s">
        <v>626</v>
      </c>
      <c r="C329" s="25" t="s">
        <v>627</v>
      </c>
      <c r="D329" s="25" t="s">
        <v>35</v>
      </c>
      <c r="E329" s="26" t="s">
        <v>1332</v>
      </c>
      <c r="G329" s="28"/>
      <c r="H329" s="27" t="s">
        <v>1482</v>
      </c>
      <c r="K329" s="29" t="str">
        <f t="shared" si="15"/>
        <v>Meter6</v>
      </c>
      <c r="L329" s="29" t="str">
        <f t="shared" si="16"/>
        <v>total_kw</v>
      </c>
    </row>
    <row r="330" spans="1:12" s="27" customFormat="1" hidden="1" x14ac:dyDescent="0.25">
      <c r="A330" s="25">
        <v>311</v>
      </c>
      <c r="B330" s="26" t="s">
        <v>628</v>
      </c>
      <c r="C330" s="25" t="s">
        <v>629</v>
      </c>
      <c r="D330" s="25" t="s">
        <v>35</v>
      </c>
      <c r="E330" s="26" t="s">
        <v>1333</v>
      </c>
      <c r="G330" s="28"/>
      <c r="K330" s="29" t="str">
        <f t="shared" si="15"/>
        <v>Meter6</v>
      </c>
      <c r="L330" s="29" t="str">
        <f t="shared" si="16"/>
        <v>total_kva</v>
      </c>
    </row>
    <row r="331" spans="1:12" s="27" customFormat="1" hidden="1" x14ac:dyDescent="0.25">
      <c r="A331" s="25">
        <v>312</v>
      </c>
      <c r="B331" s="26" t="s">
        <v>630</v>
      </c>
      <c r="C331" s="25" t="s">
        <v>631</v>
      </c>
      <c r="D331" s="25" t="s">
        <v>35</v>
      </c>
      <c r="E331" s="26" t="s">
        <v>1334</v>
      </c>
      <c r="G331" s="28"/>
      <c r="K331" s="29" t="str">
        <f t="shared" si="15"/>
        <v>Meter6</v>
      </c>
      <c r="L331" s="29" t="str">
        <f t="shared" si="16"/>
        <v>total_kvar</v>
      </c>
    </row>
    <row r="332" spans="1:12" s="27" customFormat="1" hidden="1" x14ac:dyDescent="0.25">
      <c r="A332" s="25">
        <v>313</v>
      </c>
      <c r="B332" s="26" t="s">
        <v>632</v>
      </c>
      <c r="C332" s="25" t="s">
        <v>633</v>
      </c>
      <c r="D332" s="25" t="s">
        <v>35</v>
      </c>
      <c r="E332" s="26" t="s">
        <v>1335</v>
      </c>
      <c r="G332" s="28"/>
      <c r="K332" s="29" t="str">
        <f t="shared" si="15"/>
        <v>Meter6</v>
      </c>
      <c r="L332" s="29" t="str">
        <f t="shared" si="16"/>
        <v>PF1</v>
      </c>
    </row>
    <row r="333" spans="1:12" s="27" customFormat="1" hidden="1" x14ac:dyDescent="0.25">
      <c r="A333" s="25">
        <v>314</v>
      </c>
      <c r="B333" s="26" t="s">
        <v>634</v>
      </c>
      <c r="C333" s="25" t="s">
        <v>635</v>
      </c>
      <c r="D333" s="25" t="s">
        <v>35</v>
      </c>
      <c r="E333" s="26" t="s">
        <v>1336</v>
      </c>
      <c r="G333" s="28"/>
      <c r="K333" s="29" t="str">
        <f t="shared" si="15"/>
        <v>Meter6</v>
      </c>
      <c r="L333" s="29" t="str">
        <f t="shared" si="16"/>
        <v>PF2</v>
      </c>
    </row>
    <row r="334" spans="1:12" s="27" customFormat="1" hidden="1" x14ac:dyDescent="0.25">
      <c r="A334" s="25">
        <v>315</v>
      </c>
      <c r="B334" s="26" t="s">
        <v>636</v>
      </c>
      <c r="C334" s="25" t="s">
        <v>637</v>
      </c>
      <c r="D334" s="25" t="s">
        <v>35</v>
      </c>
      <c r="E334" s="26" t="s">
        <v>1337</v>
      </c>
      <c r="G334" s="28"/>
      <c r="K334" s="29" t="str">
        <f t="shared" si="15"/>
        <v>Meter6</v>
      </c>
      <c r="L334" s="29" t="str">
        <f t="shared" si="16"/>
        <v>PF3</v>
      </c>
    </row>
    <row r="335" spans="1:12" s="27" customFormat="1" hidden="1" x14ac:dyDescent="0.25">
      <c r="A335" s="25">
        <v>316</v>
      </c>
      <c r="B335" s="26" t="s">
        <v>638</v>
      </c>
      <c r="C335" s="25" t="s">
        <v>639</v>
      </c>
      <c r="D335" s="25" t="s">
        <v>35</v>
      </c>
      <c r="E335" s="26" t="s">
        <v>1338</v>
      </c>
      <c r="G335" s="28"/>
      <c r="H335" s="27" t="s">
        <v>1405</v>
      </c>
      <c r="K335" s="29" t="str">
        <f t="shared" si="15"/>
        <v>Meter6</v>
      </c>
      <c r="L335" s="29" t="str">
        <f t="shared" si="16"/>
        <v>PF</v>
      </c>
    </row>
    <row r="336" spans="1:12" s="27" customFormat="1" hidden="1" x14ac:dyDescent="0.25">
      <c r="A336" s="25">
        <v>317</v>
      </c>
      <c r="B336" s="26" t="s">
        <v>640</v>
      </c>
      <c r="C336" s="25" t="s">
        <v>641</v>
      </c>
      <c r="D336" s="25" t="s">
        <v>35</v>
      </c>
      <c r="E336" s="26" t="s">
        <v>1339</v>
      </c>
      <c r="G336" s="28"/>
      <c r="H336" s="27" t="s">
        <v>1339</v>
      </c>
      <c r="K336" s="29" t="str">
        <f t="shared" si="15"/>
        <v>Meter6</v>
      </c>
      <c r="L336" s="29" t="str">
        <f t="shared" si="16"/>
        <v>freq</v>
      </c>
    </row>
    <row r="337" spans="1:12" s="27" customFormat="1" hidden="1" x14ac:dyDescent="0.25">
      <c r="A337" s="25">
        <v>318</v>
      </c>
      <c r="B337" s="26" t="s">
        <v>642</v>
      </c>
      <c r="C337" s="25" t="s">
        <v>643</v>
      </c>
      <c r="D337" s="25" t="s">
        <v>35</v>
      </c>
      <c r="E337" s="26" t="s">
        <v>1340</v>
      </c>
      <c r="G337" s="28"/>
      <c r="H337" s="27" t="s">
        <v>1340</v>
      </c>
      <c r="K337" s="29" t="str">
        <f t="shared" si="15"/>
        <v>Meter6</v>
      </c>
      <c r="L337" s="29" t="str">
        <f t="shared" si="16"/>
        <v>kwh</v>
      </c>
    </row>
    <row r="338" spans="1:12" s="27" customFormat="1" hidden="1" x14ac:dyDescent="0.25">
      <c r="A338" s="25">
        <v>319</v>
      </c>
      <c r="B338" s="26" t="s">
        <v>644</v>
      </c>
      <c r="C338" s="25" t="s">
        <v>645</v>
      </c>
      <c r="D338" s="25" t="s">
        <v>35</v>
      </c>
      <c r="E338" s="26" t="s">
        <v>1341</v>
      </c>
      <c r="G338" s="28"/>
      <c r="K338" s="29" t="str">
        <f t="shared" si="15"/>
        <v>Meter6</v>
      </c>
      <c r="L338" s="29" t="str">
        <f t="shared" si="16"/>
        <v>kvah</v>
      </c>
    </row>
    <row r="339" spans="1:12" s="27" customFormat="1" hidden="1" x14ac:dyDescent="0.25">
      <c r="A339" s="25">
        <v>320</v>
      </c>
      <c r="B339" s="26" t="s">
        <v>646</v>
      </c>
      <c r="C339" s="25" t="s">
        <v>647</v>
      </c>
      <c r="D339" s="25" t="s">
        <v>35</v>
      </c>
      <c r="E339" s="26" t="s">
        <v>1342</v>
      </c>
      <c r="G339" s="28"/>
      <c r="K339" s="29" t="str">
        <f t="shared" si="15"/>
        <v>Meter6</v>
      </c>
      <c r="L339" s="29" t="str">
        <f t="shared" si="16"/>
        <v>kvarh</v>
      </c>
    </row>
    <row r="340" spans="1:12" s="27" customFormat="1" hidden="1" x14ac:dyDescent="0.25">
      <c r="A340" s="25">
        <v>321</v>
      </c>
      <c r="B340" s="26" t="s">
        <v>648</v>
      </c>
      <c r="C340" s="25" t="s">
        <v>649</v>
      </c>
      <c r="D340" s="25" t="s">
        <v>7</v>
      </c>
      <c r="E340" s="26" t="s">
        <v>1343</v>
      </c>
      <c r="G340" s="28"/>
      <c r="K340" s="29" t="str">
        <f t="shared" si="15"/>
        <v>Pump6</v>
      </c>
      <c r="L340" s="29" t="str">
        <f t="shared" si="16"/>
        <v>Ctrl_run_Pump</v>
      </c>
    </row>
    <row r="341" spans="1:12" s="27" customFormat="1" hidden="1" x14ac:dyDescent="0.25">
      <c r="A341" s="25">
        <v>322</v>
      </c>
      <c r="B341" s="26" t="s">
        <v>650</v>
      </c>
      <c r="C341" s="25" t="s">
        <v>651</v>
      </c>
      <c r="D341" s="25" t="s">
        <v>7</v>
      </c>
      <c r="E341" s="26" t="s">
        <v>1354</v>
      </c>
      <c r="G341" s="28"/>
      <c r="H341" s="27" t="s">
        <v>1496</v>
      </c>
      <c r="K341" s="29" t="str">
        <f t="shared" ref="K341:K409" si="17">LEFT(B341, SEARCH("_",B341 ) - 1)</f>
        <v>Pump6</v>
      </c>
      <c r="L341" s="29" t="str">
        <f t="shared" si="16"/>
        <v>FB_Fault</v>
      </c>
    </row>
    <row r="342" spans="1:12" s="27" customFormat="1" hidden="1" x14ac:dyDescent="0.25">
      <c r="A342" s="25">
        <v>323</v>
      </c>
      <c r="B342" s="26" t="s">
        <v>652</v>
      </c>
      <c r="C342" s="25" t="s">
        <v>653</v>
      </c>
      <c r="D342" s="25" t="s">
        <v>7</v>
      </c>
      <c r="E342" s="26" t="s">
        <v>1344</v>
      </c>
      <c r="G342" s="28"/>
      <c r="K342" s="29" t="str">
        <f t="shared" si="17"/>
        <v>Pump6</v>
      </c>
      <c r="L342" s="29" t="str">
        <f t="shared" si="16"/>
        <v>Ctrl_PB_Run</v>
      </c>
    </row>
    <row r="343" spans="1:12" s="27" customFormat="1" hidden="1" x14ac:dyDescent="0.25">
      <c r="A343" s="25">
        <v>324</v>
      </c>
      <c r="B343" s="26" t="s">
        <v>654</v>
      </c>
      <c r="C343" s="25" t="s">
        <v>655</v>
      </c>
      <c r="D343" s="25" t="s">
        <v>7</v>
      </c>
      <c r="E343" s="26" t="s">
        <v>1345</v>
      </c>
      <c r="G343" s="28"/>
      <c r="K343" s="29" t="str">
        <f t="shared" si="17"/>
        <v>Pump6</v>
      </c>
      <c r="L343" s="29" t="str">
        <f t="shared" si="16"/>
        <v>Ctrl_PB_Stop</v>
      </c>
    </row>
    <row r="344" spans="1:12" s="27" customFormat="1" hidden="1" x14ac:dyDescent="0.25">
      <c r="A344" s="25">
        <v>325</v>
      </c>
      <c r="B344" s="26" t="s">
        <v>656</v>
      </c>
      <c r="C344" s="25" t="s">
        <v>657</v>
      </c>
      <c r="D344" s="25" t="s">
        <v>7</v>
      </c>
      <c r="E344" s="26" t="s">
        <v>1346</v>
      </c>
      <c r="G344" s="28"/>
      <c r="K344" s="29" t="str">
        <f t="shared" si="17"/>
        <v>Pump6</v>
      </c>
      <c r="L344" s="29" t="str">
        <f t="shared" si="16"/>
        <v>Ctrl_PB_RST</v>
      </c>
    </row>
    <row r="345" spans="1:12" s="30" customFormat="1" hidden="1" x14ac:dyDescent="0.25">
      <c r="A345" s="23">
        <v>50</v>
      </c>
      <c r="B345" s="24" t="s">
        <v>1574</v>
      </c>
      <c r="C345" s="23" t="s">
        <v>1588</v>
      </c>
      <c r="D345" s="23" t="s">
        <v>7</v>
      </c>
      <c r="E345" s="24" t="s">
        <v>1558</v>
      </c>
      <c r="G345" s="28"/>
      <c r="K345" s="31" t="str">
        <f t="shared" si="17"/>
        <v>Pump6</v>
      </c>
      <c r="L345" s="31" t="str">
        <f t="shared" ref="L345:L346" si="18">RIGHT(B345, LEN(B345)-SEARCH("_",B345 ))</f>
        <v>Ctrl_PB_Maintenance</v>
      </c>
    </row>
    <row r="346" spans="1:12" s="30" customFormat="1" hidden="1" x14ac:dyDescent="0.25">
      <c r="A346" s="23">
        <v>50</v>
      </c>
      <c r="B346" s="24" t="s">
        <v>1575</v>
      </c>
      <c r="C346" s="23" t="s">
        <v>1589</v>
      </c>
      <c r="D346" s="23" t="s">
        <v>7</v>
      </c>
      <c r="E346" s="24" t="s">
        <v>1559</v>
      </c>
      <c r="G346" s="28"/>
      <c r="H346" s="30" t="s">
        <v>1563</v>
      </c>
      <c r="K346" s="31" t="str">
        <f t="shared" si="17"/>
        <v>Pump6</v>
      </c>
      <c r="L346" s="31" t="str">
        <f t="shared" si="18"/>
        <v>FB_Maintenance</v>
      </c>
    </row>
    <row r="347" spans="1:12" s="27" customFormat="1" hidden="1" x14ac:dyDescent="0.25">
      <c r="A347" s="25">
        <v>326</v>
      </c>
      <c r="B347" s="26" t="s">
        <v>658</v>
      </c>
      <c r="C347" s="25" t="s">
        <v>659</v>
      </c>
      <c r="D347" s="25" t="s">
        <v>24</v>
      </c>
      <c r="E347" s="26" t="s">
        <v>1347</v>
      </c>
      <c r="G347" s="28"/>
      <c r="H347" s="27" t="s">
        <v>1518</v>
      </c>
      <c r="K347" s="29" t="str">
        <f t="shared" si="17"/>
        <v>Pump6</v>
      </c>
      <c r="L347" s="29" t="str">
        <f t="shared" si="16"/>
        <v>Time_Run_M</v>
      </c>
    </row>
    <row r="348" spans="1:12" s="27" customFormat="1" hidden="1" x14ac:dyDescent="0.25">
      <c r="A348" s="25">
        <v>327</v>
      </c>
      <c r="B348" s="26" t="s">
        <v>660</v>
      </c>
      <c r="C348" s="25" t="s">
        <v>661</v>
      </c>
      <c r="D348" s="25" t="s">
        <v>24</v>
      </c>
      <c r="E348" s="26" t="s">
        <v>1348</v>
      </c>
      <c r="G348" s="28"/>
      <c r="H348" s="27" t="s">
        <v>1518</v>
      </c>
      <c r="K348" s="29" t="str">
        <f t="shared" si="17"/>
        <v>Pump6</v>
      </c>
      <c r="L348" s="29" t="str">
        <f t="shared" ref="L348:L414" si="19">RIGHT(B348, LEN(B348)-SEARCH("_",B348 ))</f>
        <v>Time_Run_H</v>
      </c>
    </row>
    <row r="349" spans="1:12" s="27" customFormat="1" hidden="1" x14ac:dyDescent="0.25">
      <c r="A349" s="25">
        <v>328</v>
      </c>
      <c r="B349" s="26" t="s">
        <v>662</v>
      </c>
      <c r="C349" s="25" t="s">
        <v>663</v>
      </c>
      <c r="D349" s="25" t="s">
        <v>24</v>
      </c>
      <c r="E349" s="26" t="s">
        <v>1349</v>
      </c>
      <c r="G349" s="28"/>
      <c r="H349" s="27" t="s">
        <v>1517</v>
      </c>
      <c r="K349" s="29" t="str">
        <f t="shared" si="17"/>
        <v>Pump6</v>
      </c>
      <c r="L349" s="29" t="str">
        <f t="shared" si="19"/>
        <v>Total_Time_Run_M</v>
      </c>
    </row>
    <row r="350" spans="1:12" s="27" customFormat="1" hidden="1" x14ac:dyDescent="0.25">
      <c r="A350" s="25">
        <v>329</v>
      </c>
      <c r="B350" s="26" t="s">
        <v>664</v>
      </c>
      <c r="C350" s="25" t="s">
        <v>665</v>
      </c>
      <c r="D350" s="25" t="s">
        <v>24</v>
      </c>
      <c r="E350" s="26" t="s">
        <v>1350</v>
      </c>
      <c r="G350" s="28"/>
      <c r="H350" s="27" t="s">
        <v>1517</v>
      </c>
      <c r="K350" s="29" t="str">
        <f t="shared" si="17"/>
        <v>Pump6</v>
      </c>
      <c r="L350" s="29" t="str">
        <f t="shared" si="19"/>
        <v>Total_Time_Run_H</v>
      </c>
    </row>
    <row r="351" spans="1:12" s="27" customFormat="1" hidden="1" x14ac:dyDescent="0.25">
      <c r="A351" s="25">
        <v>330</v>
      </c>
      <c r="B351" s="26" t="s">
        <v>666</v>
      </c>
      <c r="C351" s="25" t="s">
        <v>667</v>
      </c>
      <c r="D351" s="25" t="s">
        <v>24</v>
      </c>
      <c r="E351" s="26" t="s">
        <v>1351</v>
      </c>
      <c r="G351" s="28"/>
      <c r="K351" s="29" t="str">
        <f t="shared" si="17"/>
        <v>Pump6</v>
      </c>
      <c r="L351" s="29" t="str">
        <f t="shared" si="19"/>
        <v>NumberOfclose</v>
      </c>
    </row>
    <row r="352" spans="1:12" s="27" customFormat="1" hidden="1" x14ac:dyDescent="0.25">
      <c r="A352" s="25">
        <v>331</v>
      </c>
      <c r="B352" s="26" t="s">
        <v>668</v>
      </c>
      <c r="C352" s="25" t="s">
        <v>669</v>
      </c>
      <c r="D352" s="25" t="s">
        <v>7</v>
      </c>
      <c r="E352" s="26" t="s">
        <v>1355</v>
      </c>
      <c r="G352" s="28" t="s">
        <v>1532</v>
      </c>
      <c r="K352" s="29" t="str">
        <f t="shared" si="17"/>
        <v>Pump7</v>
      </c>
      <c r="L352" s="29" t="str">
        <f t="shared" si="19"/>
        <v>FB_auto</v>
      </c>
    </row>
    <row r="353" spans="1:12" s="27" customFormat="1" hidden="1" x14ac:dyDescent="0.25">
      <c r="A353" s="25">
        <v>332</v>
      </c>
      <c r="B353" s="26" t="s">
        <v>670</v>
      </c>
      <c r="C353" s="25" t="s">
        <v>671</v>
      </c>
      <c r="D353" s="25" t="s">
        <v>7</v>
      </c>
      <c r="E353" s="26" t="s">
        <v>1306</v>
      </c>
      <c r="G353" s="28"/>
      <c r="H353" s="27" t="s">
        <v>1505</v>
      </c>
      <c r="K353" s="29" t="str">
        <f t="shared" si="17"/>
        <v>Pump7</v>
      </c>
      <c r="L353" s="29" t="str">
        <f t="shared" si="19"/>
        <v>FB_Run</v>
      </c>
    </row>
    <row r="354" spans="1:12" s="27" customFormat="1" hidden="1" x14ac:dyDescent="0.25">
      <c r="A354" s="25">
        <v>333</v>
      </c>
      <c r="B354" s="26" t="s">
        <v>672</v>
      </c>
      <c r="C354" s="25" t="s">
        <v>673</v>
      </c>
      <c r="D354" s="25" t="s">
        <v>7</v>
      </c>
      <c r="E354" s="26" t="s">
        <v>1307</v>
      </c>
      <c r="G354" s="28"/>
      <c r="K354" s="29" t="str">
        <f t="shared" si="17"/>
        <v>Pump7</v>
      </c>
      <c r="L354" s="29" t="str">
        <f t="shared" si="19"/>
        <v>FB_Fault_V</v>
      </c>
    </row>
    <row r="355" spans="1:12" s="27" customFormat="1" hidden="1" x14ac:dyDescent="0.25">
      <c r="A355" s="25">
        <v>334</v>
      </c>
      <c r="B355" s="26" t="s">
        <v>674</v>
      </c>
      <c r="C355" s="25" t="s">
        <v>675</v>
      </c>
      <c r="D355" s="25" t="s">
        <v>7</v>
      </c>
      <c r="E355" s="26" t="s">
        <v>1307</v>
      </c>
      <c r="G355" s="28"/>
      <c r="K355" s="29" t="str">
        <f t="shared" si="17"/>
        <v>Pump7</v>
      </c>
      <c r="L355" s="29" t="str">
        <f t="shared" si="19"/>
        <v>FB_Fault_SS</v>
      </c>
    </row>
    <row r="356" spans="1:12" s="27" customFormat="1" hidden="1" x14ac:dyDescent="0.25">
      <c r="A356" s="25">
        <v>335</v>
      </c>
      <c r="B356" s="26" t="s">
        <v>676</v>
      </c>
      <c r="C356" s="25" t="s">
        <v>677</v>
      </c>
      <c r="D356" s="25" t="s">
        <v>7</v>
      </c>
      <c r="E356" s="26" t="s">
        <v>1356</v>
      </c>
      <c r="G356" s="28"/>
      <c r="K356" s="29" t="str">
        <f t="shared" si="17"/>
        <v>Pump7</v>
      </c>
      <c r="L356" s="29" t="str">
        <f t="shared" si="19"/>
        <v>FB_Fault_Temp</v>
      </c>
    </row>
    <row r="357" spans="1:12" s="27" customFormat="1" hidden="1" x14ac:dyDescent="0.25">
      <c r="A357" s="25">
        <v>336</v>
      </c>
      <c r="B357" s="26" t="s">
        <v>678</v>
      </c>
      <c r="C357" s="25" t="s">
        <v>679</v>
      </c>
      <c r="D357" s="25" t="s">
        <v>7</v>
      </c>
      <c r="E357" s="26" t="s">
        <v>1307</v>
      </c>
      <c r="G357" s="28"/>
      <c r="K357" s="29" t="str">
        <f t="shared" si="17"/>
        <v>Pump7</v>
      </c>
      <c r="L357" s="29" t="str">
        <f t="shared" si="19"/>
        <v>FB_Fault_Curent</v>
      </c>
    </row>
    <row r="358" spans="1:12" s="27" customFormat="1" hidden="1" x14ac:dyDescent="0.25">
      <c r="A358" s="25">
        <v>337</v>
      </c>
      <c r="B358" s="26" t="s">
        <v>680</v>
      </c>
      <c r="C358" s="25" t="s">
        <v>681</v>
      </c>
      <c r="D358" s="25" t="s">
        <v>7</v>
      </c>
      <c r="E358" s="26" t="s">
        <v>1357</v>
      </c>
      <c r="G358" s="28"/>
      <c r="K358" s="29" t="str">
        <f t="shared" si="17"/>
        <v>Pump7</v>
      </c>
      <c r="L358" s="29" t="str">
        <f t="shared" si="19"/>
        <v>Clock_1m</v>
      </c>
    </row>
    <row r="359" spans="1:12" s="30" customFormat="1" x14ac:dyDescent="0.25">
      <c r="A359" s="23">
        <v>338</v>
      </c>
      <c r="B359" s="24" t="s">
        <v>1547</v>
      </c>
      <c r="C359" s="23" t="s">
        <v>683</v>
      </c>
      <c r="D359" s="23" t="s">
        <v>7</v>
      </c>
      <c r="E359" s="24" t="s">
        <v>1358</v>
      </c>
      <c r="G359" s="28"/>
      <c r="H359" s="17" t="s">
        <v>1524</v>
      </c>
      <c r="K359" s="31" t="str">
        <f t="shared" si="17"/>
        <v>Pump7</v>
      </c>
      <c r="L359" s="31" t="str">
        <f t="shared" si="19"/>
        <v>FB_ON_MCCB</v>
      </c>
    </row>
    <row r="360" spans="1:12" s="30" customFormat="1" hidden="1" x14ac:dyDescent="0.25">
      <c r="A360" s="23">
        <v>8</v>
      </c>
      <c r="B360" s="32" t="s">
        <v>1548</v>
      </c>
      <c r="C360" s="23" t="s">
        <v>1537</v>
      </c>
      <c r="D360" s="23" t="s">
        <v>7</v>
      </c>
      <c r="E360" s="24" t="s">
        <v>1393</v>
      </c>
      <c r="G360" s="28"/>
      <c r="H360" s="30" t="s">
        <v>1495</v>
      </c>
      <c r="K360" s="31" t="str">
        <f t="shared" si="17"/>
        <v>Pump7</v>
      </c>
      <c r="L360" s="31" t="str">
        <f t="shared" si="19"/>
        <v>FB_Stop</v>
      </c>
    </row>
    <row r="361" spans="1:12" s="27" customFormat="1" hidden="1" x14ac:dyDescent="0.25">
      <c r="A361" s="25">
        <v>339</v>
      </c>
      <c r="B361" s="26" t="s">
        <v>684</v>
      </c>
      <c r="C361" s="25" t="s">
        <v>685</v>
      </c>
      <c r="D361" s="25" t="s">
        <v>24</v>
      </c>
      <c r="E361" s="26" t="s">
        <v>1352</v>
      </c>
      <c r="G361" s="28"/>
      <c r="H361" s="27" t="s">
        <v>1514</v>
      </c>
      <c r="K361" s="29" t="str">
        <f t="shared" si="17"/>
        <v>Pump7</v>
      </c>
      <c r="L361" s="29" t="str">
        <f t="shared" si="19"/>
        <v>FB_Temp_DEBearing</v>
      </c>
    </row>
    <row r="362" spans="1:12" s="27" customFormat="1" hidden="1" x14ac:dyDescent="0.25">
      <c r="A362" s="25">
        <v>340</v>
      </c>
      <c r="B362" s="26" t="s">
        <v>686</v>
      </c>
      <c r="C362" s="25" t="s">
        <v>687</v>
      </c>
      <c r="D362" s="25" t="s">
        <v>24</v>
      </c>
      <c r="E362" s="26" t="s">
        <v>1353</v>
      </c>
      <c r="G362" s="28"/>
      <c r="H362" s="27" t="s">
        <v>1515</v>
      </c>
      <c r="K362" s="29" t="str">
        <f t="shared" si="17"/>
        <v>Pump7</v>
      </c>
      <c r="L362" s="29" t="str">
        <f t="shared" si="19"/>
        <v>FB_Temp_NDEBearing</v>
      </c>
    </row>
    <row r="363" spans="1:12" s="27" customFormat="1" hidden="1" x14ac:dyDescent="0.25">
      <c r="A363" s="25">
        <v>341</v>
      </c>
      <c r="B363" s="26" t="s">
        <v>688</v>
      </c>
      <c r="C363" s="25" t="s">
        <v>689</v>
      </c>
      <c r="D363" s="25" t="s">
        <v>24</v>
      </c>
      <c r="E363" s="26" t="s">
        <v>1308</v>
      </c>
      <c r="G363" s="28"/>
      <c r="H363" s="27" t="s">
        <v>1511</v>
      </c>
      <c r="K363" s="29" t="str">
        <f t="shared" si="17"/>
        <v>Pump7</v>
      </c>
      <c r="L363" s="29" t="str">
        <f t="shared" si="19"/>
        <v>FB_Temp_PhaseA</v>
      </c>
    </row>
    <row r="364" spans="1:12" s="27" customFormat="1" hidden="1" x14ac:dyDescent="0.25">
      <c r="A364" s="25">
        <v>342</v>
      </c>
      <c r="B364" s="26" t="s">
        <v>690</v>
      </c>
      <c r="C364" s="25" t="s">
        <v>691</v>
      </c>
      <c r="D364" s="25" t="s">
        <v>24</v>
      </c>
      <c r="E364" s="26" t="s">
        <v>1309</v>
      </c>
      <c r="G364" s="28"/>
      <c r="H364" s="27" t="s">
        <v>1512</v>
      </c>
      <c r="K364" s="29" t="str">
        <f t="shared" si="17"/>
        <v>Pump7</v>
      </c>
      <c r="L364" s="29" t="str">
        <f t="shared" si="19"/>
        <v>FB_Temp_PhaseB</v>
      </c>
    </row>
    <row r="365" spans="1:12" s="27" customFormat="1" hidden="1" x14ac:dyDescent="0.25">
      <c r="A365" s="25">
        <v>343</v>
      </c>
      <c r="B365" s="26" t="s">
        <v>692</v>
      </c>
      <c r="C365" s="25" t="s">
        <v>693</v>
      </c>
      <c r="D365" s="25" t="s">
        <v>24</v>
      </c>
      <c r="E365" s="26" t="s">
        <v>1310</v>
      </c>
      <c r="G365" s="28"/>
      <c r="H365" s="27" t="s">
        <v>1513</v>
      </c>
      <c r="K365" s="29" t="str">
        <f t="shared" si="17"/>
        <v>Pump7</v>
      </c>
      <c r="L365" s="29" t="str">
        <f t="shared" si="19"/>
        <v>FB_Temp_PhaseC</v>
      </c>
    </row>
    <row r="366" spans="1:12" s="27" customFormat="1" hidden="1" x14ac:dyDescent="0.25">
      <c r="A366" s="25">
        <v>344</v>
      </c>
      <c r="B366" s="26" t="s">
        <v>694</v>
      </c>
      <c r="C366" s="25" t="s">
        <v>695</v>
      </c>
      <c r="D366" s="25" t="s">
        <v>35</v>
      </c>
      <c r="E366" s="26" t="s">
        <v>1315</v>
      </c>
      <c r="G366" s="28"/>
      <c r="K366" s="29" t="str">
        <f t="shared" si="17"/>
        <v>Meter7</v>
      </c>
      <c r="L366" s="29" t="str">
        <f t="shared" si="19"/>
        <v>U1</v>
      </c>
    </row>
    <row r="367" spans="1:12" s="27" customFormat="1" hidden="1" x14ac:dyDescent="0.25">
      <c r="A367" s="25">
        <v>345</v>
      </c>
      <c r="B367" s="26" t="s">
        <v>696</v>
      </c>
      <c r="C367" s="25" t="s">
        <v>697</v>
      </c>
      <c r="D367" s="25" t="s">
        <v>35</v>
      </c>
      <c r="E367" s="26" t="s">
        <v>1316</v>
      </c>
      <c r="G367" s="28"/>
      <c r="K367" s="29" t="str">
        <f t="shared" si="17"/>
        <v>Meter7</v>
      </c>
      <c r="L367" s="29" t="str">
        <f t="shared" si="19"/>
        <v>U2</v>
      </c>
    </row>
    <row r="368" spans="1:12" s="27" customFormat="1" hidden="1" x14ac:dyDescent="0.25">
      <c r="A368" s="25">
        <v>346</v>
      </c>
      <c r="B368" s="26" t="s">
        <v>698</v>
      </c>
      <c r="C368" s="25" t="s">
        <v>699</v>
      </c>
      <c r="D368" s="25" t="s">
        <v>35</v>
      </c>
      <c r="E368" s="26" t="s">
        <v>1317</v>
      </c>
      <c r="G368" s="28"/>
      <c r="K368" s="29" t="str">
        <f t="shared" si="17"/>
        <v>Meter7</v>
      </c>
      <c r="L368" s="29" t="str">
        <f t="shared" si="19"/>
        <v>U3</v>
      </c>
    </row>
    <row r="369" spans="1:12" s="27" customFormat="1" hidden="1" x14ac:dyDescent="0.25">
      <c r="A369" s="25">
        <v>347</v>
      </c>
      <c r="B369" s="26" t="s">
        <v>700</v>
      </c>
      <c r="C369" s="25" t="s">
        <v>701</v>
      </c>
      <c r="D369" s="25" t="s">
        <v>35</v>
      </c>
      <c r="E369" s="26" t="s">
        <v>1318</v>
      </c>
      <c r="G369" s="28"/>
      <c r="K369" s="29" t="str">
        <f t="shared" si="17"/>
        <v>Meter7</v>
      </c>
      <c r="L369" s="29" t="str">
        <f t="shared" si="19"/>
        <v>U_Ph</v>
      </c>
    </row>
    <row r="370" spans="1:12" s="27" customFormat="1" hidden="1" x14ac:dyDescent="0.25">
      <c r="A370" s="25">
        <v>348</v>
      </c>
      <c r="B370" s="26" t="s">
        <v>702</v>
      </c>
      <c r="C370" s="25" t="s">
        <v>703</v>
      </c>
      <c r="D370" s="25" t="s">
        <v>35</v>
      </c>
      <c r="E370" s="26" t="s">
        <v>1319</v>
      </c>
      <c r="G370" s="28"/>
      <c r="H370" s="27" t="s">
        <v>1319</v>
      </c>
      <c r="K370" s="29" t="str">
        <f t="shared" si="17"/>
        <v>Meter7</v>
      </c>
      <c r="L370" s="29" t="str">
        <f t="shared" si="19"/>
        <v>U12</v>
      </c>
    </row>
    <row r="371" spans="1:12" s="27" customFormat="1" hidden="1" x14ac:dyDescent="0.25">
      <c r="A371" s="25">
        <v>349</v>
      </c>
      <c r="B371" s="26" t="s">
        <v>704</v>
      </c>
      <c r="C371" s="25" t="s">
        <v>705</v>
      </c>
      <c r="D371" s="25" t="s">
        <v>35</v>
      </c>
      <c r="E371" s="26" t="s">
        <v>1320</v>
      </c>
      <c r="G371" s="28"/>
      <c r="H371" s="27" t="s">
        <v>1320</v>
      </c>
      <c r="K371" s="29" t="str">
        <f t="shared" si="17"/>
        <v>Meter7</v>
      </c>
      <c r="L371" s="29" t="str">
        <f t="shared" si="19"/>
        <v>U23</v>
      </c>
    </row>
    <row r="372" spans="1:12" s="27" customFormat="1" hidden="1" x14ac:dyDescent="0.25">
      <c r="A372" s="25">
        <v>350</v>
      </c>
      <c r="B372" s="26" t="s">
        <v>706</v>
      </c>
      <c r="C372" s="25" t="s">
        <v>707</v>
      </c>
      <c r="D372" s="25" t="s">
        <v>35</v>
      </c>
      <c r="E372" s="26" t="s">
        <v>1321</v>
      </c>
      <c r="G372" s="28"/>
      <c r="H372" s="27" t="s">
        <v>1516</v>
      </c>
      <c r="K372" s="29" t="str">
        <f t="shared" si="17"/>
        <v>Meter7</v>
      </c>
      <c r="L372" s="29" t="str">
        <f t="shared" si="19"/>
        <v>U31</v>
      </c>
    </row>
    <row r="373" spans="1:12" s="27" customFormat="1" hidden="1" x14ac:dyDescent="0.25">
      <c r="A373" s="25">
        <v>351</v>
      </c>
      <c r="B373" s="26" t="s">
        <v>708</v>
      </c>
      <c r="C373" s="25" t="s">
        <v>709</v>
      </c>
      <c r="D373" s="25" t="s">
        <v>35</v>
      </c>
      <c r="E373" s="26" t="s">
        <v>1322</v>
      </c>
      <c r="G373" s="28"/>
      <c r="K373" s="29" t="str">
        <f t="shared" si="17"/>
        <v>Meter7</v>
      </c>
      <c r="L373" s="29" t="str">
        <f t="shared" si="19"/>
        <v>Uline</v>
      </c>
    </row>
    <row r="374" spans="1:12" s="27" customFormat="1" hidden="1" x14ac:dyDescent="0.25">
      <c r="A374" s="25">
        <v>352</v>
      </c>
      <c r="B374" s="26" t="s">
        <v>710</v>
      </c>
      <c r="C374" s="25" t="s">
        <v>711</v>
      </c>
      <c r="D374" s="25" t="s">
        <v>35</v>
      </c>
      <c r="E374" s="26" t="s">
        <v>1312</v>
      </c>
      <c r="G374" s="28"/>
      <c r="H374" s="29"/>
      <c r="K374" s="29" t="str">
        <f t="shared" si="17"/>
        <v>Meter7</v>
      </c>
      <c r="L374" s="29" t="str">
        <f t="shared" si="19"/>
        <v>I1</v>
      </c>
    </row>
    <row r="375" spans="1:12" s="27" customFormat="1" hidden="1" x14ac:dyDescent="0.25">
      <c r="A375" s="25">
        <v>353</v>
      </c>
      <c r="B375" s="26" t="s">
        <v>712</v>
      </c>
      <c r="C375" s="25" t="s">
        <v>713</v>
      </c>
      <c r="D375" s="25" t="s">
        <v>35</v>
      </c>
      <c r="E375" s="26" t="s">
        <v>1313</v>
      </c>
      <c r="G375" s="28"/>
      <c r="H375" s="29"/>
      <c r="K375" s="29" t="str">
        <f t="shared" si="17"/>
        <v>Meter7</v>
      </c>
      <c r="L375" s="29" t="str">
        <f t="shared" si="19"/>
        <v>I2</v>
      </c>
    </row>
    <row r="376" spans="1:12" s="27" customFormat="1" hidden="1" x14ac:dyDescent="0.25">
      <c r="A376" s="25">
        <v>354</v>
      </c>
      <c r="B376" s="26" t="s">
        <v>714</v>
      </c>
      <c r="C376" s="25" t="s">
        <v>715</v>
      </c>
      <c r="D376" s="25" t="s">
        <v>35</v>
      </c>
      <c r="E376" s="26" t="s">
        <v>1314</v>
      </c>
      <c r="G376" s="28"/>
      <c r="H376" s="29"/>
      <c r="K376" s="29" t="str">
        <f t="shared" si="17"/>
        <v>Meter7</v>
      </c>
      <c r="L376" s="29" t="str">
        <f t="shared" si="19"/>
        <v>I3</v>
      </c>
    </row>
    <row r="377" spans="1:12" s="27" customFormat="1" hidden="1" x14ac:dyDescent="0.25">
      <c r="A377" s="25">
        <v>355</v>
      </c>
      <c r="B377" s="26" t="s">
        <v>716</v>
      </c>
      <c r="C377" s="25" t="s">
        <v>717</v>
      </c>
      <c r="D377" s="25" t="s">
        <v>35</v>
      </c>
      <c r="E377" s="26" t="s">
        <v>1311</v>
      </c>
      <c r="G377" s="28"/>
      <c r="H377" s="26" t="s">
        <v>1311</v>
      </c>
      <c r="K377" s="29" t="str">
        <f t="shared" si="17"/>
        <v>Meter7</v>
      </c>
      <c r="L377" s="29" t="str">
        <f t="shared" si="19"/>
        <v>I_ph</v>
      </c>
    </row>
    <row r="378" spans="1:12" s="27" customFormat="1" hidden="1" x14ac:dyDescent="0.25">
      <c r="A378" s="25">
        <v>356</v>
      </c>
      <c r="B378" s="26" t="s">
        <v>718</v>
      </c>
      <c r="C378" s="25" t="s">
        <v>719</v>
      </c>
      <c r="D378" s="25" t="s">
        <v>35</v>
      </c>
      <c r="E378" s="26" t="s">
        <v>1323</v>
      </c>
      <c r="G378" s="28"/>
      <c r="K378" s="29" t="str">
        <f t="shared" si="17"/>
        <v>Meter7</v>
      </c>
      <c r="L378" s="29" t="str">
        <f t="shared" si="19"/>
        <v>kw1</v>
      </c>
    </row>
    <row r="379" spans="1:12" s="27" customFormat="1" hidden="1" x14ac:dyDescent="0.25">
      <c r="A379" s="25">
        <v>357</v>
      </c>
      <c r="B379" s="26" t="s">
        <v>720</v>
      </c>
      <c r="C379" s="25" t="s">
        <v>721</v>
      </c>
      <c r="D379" s="25" t="s">
        <v>35</v>
      </c>
      <c r="E379" s="26" t="s">
        <v>1324</v>
      </c>
      <c r="G379" s="28"/>
      <c r="K379" s="29" t="str">
        <f t="shared" si="17"/>
        <v>Meter7</v>
      </c>
      <c r="L379" s="29" t="str">
        <f t="shared" si="19"/>
        <v>kw2</v>
      </c>
    </row>
    <row r="380" spans="1:12" s="27" customFormat="1" hidden="1" x14ac:dyDescent="0.25">
      <c r="A380" s="25">
        <v>358</v>
      </c>
      <c r="B380" s="26" t="s">
        <v>722</v>
      </c>
      <c r="C380" s="25" t="s">
        <v>723</v>
      </c>
      <c r="D380" s="25" t="s">
        <v>35</v>
      </c>
      <c r="E380" s="26" t="s">
        <v>1325</v>
      </c>
      <c r="G380" s="28"/>
      <c r="K380" s="29" t="str">
        <f t="shared" si="17"/>
        <v>Meter7</v>
      </c>
      <c r="L380" s="29" t="str">
        <f t="shared" si="19"/>
        <v>kw3</v>
      </c>
    </row>
    <row r="381" spans="1:12" s="27" customFormat="1" hidden="1" x14ac:dyDescent="0.25">
      <c r="A381" s="25">
        <v>359</v>
      </c>
      <c r="B381" s="26" t="s">
        <v>724</v>
      </c>
      <c r="C381" s="25" t="s">
        <v>725</v>
      </c>
      <c r="D381" s="25" t="s">
        <v>35</v>
      </c>
      <c r="E381" s="26" t="s">
        <v>1326</v>
      </c>
      <c r="G381" s="28"/>
      <c r="K381" s="29" t="str">
        <f t="shared" si="17"/>
        <v>Meter7</v>
      </c>
      <c r="L381" s="29" t="str">
        <f t="shared" si="19"/>
        <v>kva1</v>
      </c>
    </row>
    <row r="382" spans="1:12" s="27" customFormat="1" hidden="1" x14ac:dyDescent="0.25">
      <c r="A382" s="25">
        <v>360</v>
      </c>
      <c r="B382" s="26" t="s">
        <v>726</v>
      </c>
      <c r="C382" s="25" t="s">
        <v>727</v>
      </c>
      <c r="D382" s="25" t="s">
        <v>35</v>
      </c>
      <c r="E382" s="26" t="s">
        <v>1327</v>
      </c>
      <c r="G382" s="28"/>
      <c r="K382" s="29" t="str">
        <f t="shared" si="17"/>
        <v>Meter7</v>
      </c>
      <c r="L382" s="29" t="str">
        <f t="shared" si="19"/>
        <v>kva2</v>
      </c>
    </row>
    <row r="383" spans="1:12" s="27" customFormat="1" hidden="1" x14ac:dyDescent="0.25">
      <c r="A383" s="25">
        <v>361</v>
      </c>
      <c r="B383" s="26" t="s">
        <v>728</v>
      </c>
      <c r="C383" s="25" t="s">
        <v>729</v>
      </c>
      <c r="D383" s="25" t="s">
        <v>35</v>
      </c>
      <c r="E383" s="26" t="s">
        <v>1328</v>
      </c>
      <c r="G383" s="28"/>
      <c r="K383" s="29" t="str">
        <f t="shared" si="17"/>
        <v>Meter7</v>
      </c>
      <c r="L383" s="29" t="str">
        <f t="shared" si="19"/>
        <v>kva3</v>
      </c>
    </row>
    <row r="384" spans="1:12" s="27" customFormat="1" hidden="1" x14ac:dyDescent="0.25">
      <c r="A384" s="25">
        <v>362</v>
      </c>
      <c r="B384" s="26" t="s">
        <v>730</v>
      </c>
      <c r="C384" s="25" t="s">
        <v>731</v>
      </c>
      <c r="D384" s="25" t="s">
        <v>35</v>
      </c>
      <c r="E384" s="26" t="s">
        <v>1329</v>
      </c>
      <c r="G384" s="28"/>
      <c r="K384" s="29" t="str">
        <f t="shared" si="17"/>
        <v>Meter7</v>
      </c>
      <c r="L384" s="29" t="str">
        <f t="shared" si="19"/>
        <v>kvar1</v>
      </c>
    </row>
    <row r="385" spans="1:12" s="27" customFormat="1" hidden="1" x14ac:dyDescent="0.25">
      <c r="A385" s="25">
        <v>363</v>
      </c>
      <c r="B385" s="26" t="s">
        <v>732</v>
      </c>
      <c r="C385" s="25" t="s">
        <v>733</v>
      </c>
      <c r="D385" s="25" t="s">
        <v>35</v>
      </c>
      <c r="E385" s="26" t="s">
        <v>1330</v>
      </c>
      <c r="G385" s="28"/>
      <c r="K385" s="29" t="str">
        <f t="shared" si="17"/>
        <v>Meter7</v>
      </c>
      <c r="L385" s="29" t="str">
        <f t="shared" si="19"/>
        <v>kvar2</v>
      </c>
    </row>
    <row r="386" spans="1:12" s="27" customFormat="1" hidden="1" x14ac:dyDescent="0.25">
      <c r="A386" s="25">
        <v>364</v>
      </c>
      <c r="B386" s="26" t="s">
        <v>734</v>
      </c>
      <c r="C386" s="25" t="s">
        <v>735</v>
      </c>
      <c r="D386" s="25" t="s">
        <v>35</v>
      </c>
      <c r="E386" s="26" t="s">
        <v>1331</v>
      </c>
      <c r="G386" s="28"/>
      <c r="K386" s="29" t="str">
        <f t="shared" si="17"/>
        <v>Meter7</v>
      </c>
      <c r="L386" s="29" t="str">
        <f t="shared" si="19"/>
        <v>kvar3</v>
      </c>
    </row>
    <row r="387" spans="1:12" s="27" customFormat="1" hidden="1" x14ac:dyDescent="0.25">
      <c r="A387" s="25">
        <v>365</v>
      </c>
      <c r="B387" s="26" t="s">
        <v>736</v>
      </c>
      <c r="C387" s="25" t="s">
        <v>737</v>
      </c>
      <c r="D387" s="25" t="s">
        <v>35</v>
      </c>
      <c r="E387" s="26" t="s">
        <v>1332</v>
      </c>
      <c r="G387" s="28"/>
      <c r="H387" s="27" t="s">
        <v>1482</v>
      </c>
      <c r="K387" s="29" t="str">
        <f t="shared" si="17"/>
        <v>Meter7</v>
      </c>
      <c r="L387" s="29" t="str">
        <f t="shared" si="19"/>
        <v>total_kw</v>
      </c>
    </row>
    <row r="388" spans="1:12" s="27" customFormat="1" hidden="1" x14ac:dyDescent="0.25">
      <c r="A388" s="25">
        <v>366</v>
      </c>
      <c r="B388" s="26" t="s">
        <v>738</v>
      </c>
      <c r="C388" s="25" t="s">
        <v>739</v>
      </c>
      <c r="D388" s="25" t="s">
        <v>35</v>
      </c>
      <c r="E388" s="26" t="s">
        <v>1333</v>
      </c>
      <c r="G388" s="28"/>
      <c r="K388" s="29" t="str">
        <f t="shared" si="17"/>
        <v>Meter7</v>
      </c>
      <c r="L388" s="29" t="str">
        <f t="shared" si="19"/>
        <v>total_kva</v>
      </c>
    </row>
    <row r="389" spans="1:12" s="27" customFormat="1" hidden="1" x14ac:dyDescent="0.25">
      <c r="A389" s="25">
        <v>367</v>
      </c>
      <c r="B389" s="26" t="s">
        <v>740</v>
      </c>
      <c r="C389" s="25" t="s">
        <v>741</v>
      </c>
      <c r="D389" s="25" t="s">
        <v>35</v>
      </c>
      <c r="E389" s="26" t="s">
        <v>1334</v>
      </c>
      <c r="G389" s="28"/>
      <c r="K389" s="29" t="str">
        <f t="shared" si="17"/>
        <v>Meter7</v>
      </c>
      <c r="L389" s="29" t="str">
        <f t="shared" si="19"/>
        <v>total_kvar</v>
      </c>
    </row>
    <row r="390" spans="1:12" s="27" customFormat="1" hidden="1" x14ac:dyDescent="0.25">
      <c r="A390" s="25">
        <v>368</v>
      </c>
      <c r="B390" s="26" t="s">
        <v>742</v>
      </c>
      <c r="C390" s="25" t="s">
        <v>743</v>
      </c>
      <c r="D390" s="25" t="s">
        <v>35</v>
      </c>
      <c r="E390" s="26" t="s">
        <v>1335</v>
      </c>
      <c r="G390" s="28"/>
      <c r="K390" s="29" t="str">
        <f t="shared" si="17"/>
        <v>Meter7</v>
      </c>
      <c r="L390" s="29" t="str">
        <f t="shared" si="19"/>
        <v>PF1</v>
      </c>
    </row>
    <row r="391" spans="1:12" s="27" customFormat="1" hidden="1" x14ac:dyDescent="0.25">
      <c r="A391" s="25">
        <v>369</v>
      </c>
      <c r="B391" s="26" t="s">
        <v>744</v>
      </c>
      <c r="C391" s="25" t="s">
        <v>745</v>
      </c>
      <c r="D391" s="25" t="s">
        <v>35</v>
      </c>
      <c r="E391" s="26" t="s">
        <v>1336</v>
      </c>
      <c r="G391" s="28"/>
      <c r="K391" s="29" t="str">
        <f t="shared" si="17"/>
        <v>Meter7</v>
      </c>
      <c r="L391" s="29" t="str">
        <f t="shared" si="19"/>
        <v>PF2</v>
      </c>
    </row>
    <row r="392" spans="1:12" s="27" customFormat="1" hidden="1" x14ac:dyDescent="0.25">
      <c r="A392" s="25">
        <v>370</v>
      </c>
      <c r="B392" s="26" t="s">
        <v>746</v>
      </c>
      <c r="C392" s="25" t="s">
        <v>747</v>
      </c>
      <c r="D392" s="25" t="s">
        <v>35</v>
      </c>
      <c r="E392" s="26" t="s">
        <v>1337</v>
      </c>
      <c r="G392" s="28"/>
      <c r="K392" s="29" t="str">
        <f t="shared" si="17"/>
        <v>Meter7</v>
      </c>
      <c r="L392" s="29" t="str">
        <f t="shared" si="19"/>
        <v>PF3</v>
      </c>
    </row>
    <row r="393" spans="1:12" s="27" customFormat="1" hidden="1" x14ac:dyDescent="0.25">
      <c r="A393" s="25">
        <v>371</v>
      </c>
      <c r="B393" s="26" t="s">
        <v>748</v>
      </c>
      <c r="C393" s="25" t="s">
        <v>749</v>
      </c>
      <c r="D393" s="25" t="s">
        <v>35</v>
      </c>
      <c r="E393" s="26" t="s">
        <v>1338</v>
      </c>
      <c r="G393" s="28"/>
      <c r="H393" s="27" t="s">
        <v>1405</v>
      </c>
      <c r="K393" s="29" t="str">
        <f t="shared" si="17"/>
        <v>Meter7</v>
      </c>
      <c r="L393" s="29" t="str">
        <f t="shared" si="19"/>
        <v>PF</v>
      </c>
    </row>
    <row r="394" spans="1:12" s="27" customFormat="1" hidden="1" x14ac:dyDescent="0.25">
      <c r="A394" s="25">
        <v>372</v>
      </c>
      <c r="B394" s="26" t="s">
        <v>750</v>
      </c>
      <c r="C394" s="25" t="s">
        <v>751</v>
      </c>
      <c r="D394" s="25" t="s">
        <v>35</v>
      </c>
      <c r="E394" s="26" t="s">
        <v>1339</v>
      </c>
      <c r="G394" s="28"/>
      <c r="H394" s="27" t="s">
        <v>1339</v>
      </c>
      <c r="K394" s="29" t="str">
        <f t="shared" si="17"/>
        <v>Meter7</v>
      </c>
      <c r="L394" s="29" t="str">
        <f t="shared" si="19"/>
        <v>freq</v>
      </c>
    </row>
    <row r="395" spans="1:12" s="27" customFormat="1" hidden="1" x14ac:dyDescent="0.25">
      <c r="A395" s="25">
        <v>373</v>
      </c>
      <c r="B395" s="26" t="s">
        <v>752</v>
      </c>
      <c r="C395" s="25" t="s">
        <v>753</v>
      </c>
      <c r="D395" s="25" t="s">
        <v>35</v>
      </c>
      <c r="E395" s="26" t="s">
        <v>1340</v>
      </c>
      <c r="G395" s="28"/>
      <c r="H395" s="27" t="s">
        <v>1340</v>
      </c>
      <c r="K395" s="29" t="str">
        <f t="shared" si="17"/>
        <v>Meter7</v>
      </c>
      <c r="L395" s="29" t="str">
        <f t="shared" si="19"/>
        <v>kwh</v>
      </c>
    </row>
    <row r="396" spans="1:12" s="27" customFormat="1" hidden="1" x14ac:dyDescent="0.25">
      <c r="A396" s="25">
        <v>374</v>
      </c>
      <c r="B396" s="26" t="s">
        <v>754</v>
      </c>
      <c r="C396" s="25" t="s">
        <v>755</v>
      </c>
      <c r="D396" s="25" t="s">
        <v>35</v>
      </c>
      <c r="E396" s="26" t="s">
        <v>1341</v>
      </c>
      <c r="G396" s="28"/>
      <c r="K396" s="29" t="str">
        <f t="shared" si="17"/>
        <v>Meter7</v>
      </c>
      <c r="L396" s="29" t="str">
        <f t="shared" si="19"/>
        <v>kvah</v>
      </c>
    </row>
    <row r="397" spans="1:12" s="27" customFormat="1" hidden="1" x14ac:dyDescent="0.25">
      <c r="A397" s="25">
        <v>375</v>
      </c>
      <c r="B397" s="26" t="s">
        <v>756</v>
      </c>
      <c r="C397" s="25" t="s">
        <v>757</v>
      </c>
      <c r="D397" s="25" t="s">
        <v>35</v>
      </c>
      <c r="E397" s="26" t="s">
        <v>1342</v>
      </c>
      <c r="G397" s="28"/>
      <c r="K397" s="29" t="str">
        <f t="shared" si="17"/>
        <v>Meter7</v>
      </c>
      <c r="L397" s="29" t="str">
        <f t="shared" si="19"/>
        <v>kvarh</v>
      </c>
    </row>
    <row r="398" spans="1:12" s="27" customFormat="1" hidden="1" x14ac:dyDescent="0.25">
      <c r="A398" s="25">
        <v>376</v>
      </c>
      <c r="B398" s="26" t="s">
        <v>758</v>
      </c>
      <c r="C398" s="25" t="s">
        <v>759</v>
      </c>
      <c r="D398" s="25" t="s">
        <v>7</v>
      </c>
      <c r="E398" s="26" t="s">
        <v>1343</v>
      </c>
      <c r="G398" s="28"/>
      <c r="K398" s="29" t="str">
        <f t="shared" si="17"/>
        <v>Pump7</v>
      </c>
      <c r="L398" s="29" t="str">
        <f t="shared" si="19"/>
        <v>Ctrl_run_Pump</v>
      </c>
    </row>
    <row r="399" spans="1:12" s="27" customFormat="1" hidden="1" x14ac:dyDescent="0.25">
      <c r="A399" s="25">
        <v>377</v>
      </c>
      <c r="B399" s="26" t="s">
        <v>760</v>
      </c>
      <c r="C399" s="25" t="s">
        <v>761</v>
      </c>
      <c r="D399" s="25" t="s">
        <v>7</v>
      </c>
      <c r="E399" s="26" t="s">
        <v>1354</v>
      </c>
      <c r="G399" s="28"/>
      <c r="H399" s="27" t="s">
        <v>1496</v>
      </c>
      <c r="K399" s="29" t="str">
        <f t="shared" si="17"/>
        <v>Pump7</v>
      </c>
      <c r="L399" s="29" t="str">
        <f t="shared" si="19"/>
        <v>FB_Fault</v>
      </c>
    </row>
    <row r="400" spans="1:12" s="27" customFormat="1" hidden="1" x14ac:dyDescent="0.25">
      <c r="A400" s="25">
        <v>378</v>
      </c>
      <c r="B400" s="26" t="s">
        <v>762</v>
      </c>
      <c r="C400" s="25" t="s">
        <v>763</v>
      </c>
      <c r="D400" s="25" t="s">
        <v>7</v>
      </c>
      <c r="E400" s="26" t="s">
        <v>1344</v>
      </c>
      <c r="G400" s="28"/>
      <c r="K400" s="29" t="str">
        <f t="shared" si="17"/>
        <v>Pump7</v>
      </c>
      <c r="L400" s="29" t="str">
        <f t="shared" si="19"/>
        <v>Ctrl_PB_Run</v>
      </c>
    </row>
    <row r="401" spans="1:12" s="27" customFormat="1" hidden="1" x14ac:dyDescent="0.25">
      <c r="A401" s="25">
        <v>379</v>
      </c>
      <c r="B401" s="26" t="s">
        <v>764</v>
      </c>
      <c r="C401" s="25" t="s">
        <v>765</v>
      </c>
      <c r="D401" s="25" t="s">
        <v>7</v>
      </c>
      <c r="E401" s="26" t="s">
        <v>1345</v>
      </c>
      <c r="G401" s="28"/>
      <c r="K401" s="29" t="str">
        <f t="shared" si="17"/>
        <v>Pump7</v>
      </c>
      <c r="L401" s="29" t="str">
        <f t="shared" si="19"/>
        <v>Ctrl_PB_Stop</v>
      </c>
    </row>
    <row r="402" spans="1:12" s="27" customFormat="1" hidden="1" x14ac:dyDescent="0.25">
      <c r="A402" s="25">
        <v>380</v>
      </c>
      <c r="B402" s="26" t="s">
        <v>766</v>
      </c>
      <c r="C402" s="25" t="s">
        <v>767</v>
      </c>
      <c r="D402" s="25" t="s">
        <v>7</v>
      </c>
      <c r="E402" s="26" t="s">
        <v>1346</v>
      </c>
      <c r="G402" s="28"/>
      <c r="K402" s="29" t="str">
        <f t="shared" si="17"/>
        <v>Pump7</v>
      </c>
      <c r="L402" s="29" t="str">
        <f t="shared" si="19"/>
        <v>Ctrl_PB_RST</v>
      </c>
    </row>
    <row r="403" spans="1:12" s="30" customFormat="1" hidden="1" x14ac:dyDescent="0.25">
      <c r="A403" s="23">
        <v>50</v>
      </c>
      <c r="B403" s="24" t="s">
        <v>1576</v>
      </c>
      <c r="C403" s="23" t="s">
        <v>1590</v>
      </c>
      <c r="D403" s="23" t="s">
        <v>7</v>
      </c>
      <c r="E403" s="24" t="s">
        <v>1558</v>
      </c>
      <c r="G403" s="28"/>
      <c r="K403" s="31" t="str">
        <f t="shared" ref="K403:K404" si="20">LEFT(B403, SEARCH("_",B403 ) - 1)</f>
        <v>Pump7</v>
      </c>
      <c r="L403" s="31" t="str">
        <f t="shared" si="19"/>
        <v>Ctrl_PB_Maintenance</v>
      </c>
    </row>
    <row r="404" spans="1:12" s="30" customFormat="1" hidden="1" x14ac:dyDescent="0.25">
      <c r="A404" s="23">
        <v>50</v>
      </c>
      <c r="B404" s="24" t="s">
        <v>1577</v>
      </c>
      <c r="C404" s="23" t="s">
        <v>1591</v>
      </c>
      <c r="D404" s="23" t="s">
        <v>7</v>
      </c>
      <c r="E404" s="24" t="s">
        <v>1559</v>
      </c>
      <c r="G404" s="28"/>
      <c r="H404" s="30" t="s">
        <v>1563</v>
      </c>
      <c r="K404" s="31" t="str">
        <f t="shared" si="20"/>
        <v>Pump7</v>
      </c>
      <c r="L404" s="31" t="str">
        <f t="shared" si="19"/>
        <v>FB_Maintenance</v>
      </c>
    </row>
    <row r="405" spans="1:12" s="27" customFormat="1" hidden="1" x14ac:dyDescent="0.25">
      <c r="A405" s="25">
        <v>381</v>
      </c>
      <c r="B405" s="26" t="s">
        <v>768</v>
      </c>
      <c r="C405" s="25" t="s">
        <v>769</v>
      </c>
      <c r="D405" s="25" t="s">
        <v>24</v>
      </c>
      <c r="E405" s="26" t="s">
        <v>1347</v>
      </c>
      <c r="G405" s="28"/>
      <c r="H405" s="27" t="s">
        <v>1518</v>
      </c>
      <c r="K405" s="29" t="str">
        <f t="shared" si="17"/>
        <v>Pump7</v>
      </c>
      <c r="L405" s="29" t="str">
        <f t="shared" si="19"/>
        <v>Time_Run_M</v>
      </c>
    </row>
    <row r="406" spans="1:12" s="27" customFormat="1" hidden="1" x14ac:dyDescent="0.25">
      <c r="A406" s="25">
        <v>382</v>
      </c>
      <c r="B406" s="26" t="s">
        <v>770</v>
      </c>
      <c r="C406" s="25" t="s">
        <v>771</v>
      </c>
      <c r="D406" s="25" t="s">
        <v>24</v>
      </c>
      <c r="E406" s="26" t="s">
        <v>1348</v>
      </c>
      <c r="G406" s="28"/>
      <c r="H406" s="27" t="s">
        <v>1518</v>
      </c>
      <c r="K406" s="29" t="str">
        <f t="shared" si="17"/>
        <v>Pump7</v>
      </c>
      <c r="L406" s="29" t="str">
        <f t="shared" si="19"/>
        <v>Time_Run_H</v>
      </c>
    </row>
    <row r="407" spans="1:12" s="27" customFormat="1" hidden="1" x14ac:dyDescent="0.25">
      <c r="A407" s="25">
        <v>383</v>
      </c>
      <c r="B407" s="26" t="s">
        <v>772</v>
      </c>
      <c r="C407" s="25" t="s">
        <v>773</v>
      </c>
      <c r="D407" s="25" t="s">
        <v>24</v>
      </c>
      <c r="E407" s="26" t="s">
        <v>1349</v>
      </c>
      <c r="G407" s="28"/>
      <c r="H407" s="27" t="s">
        <v>1517</v>
      </c>
      <c r="K407" s="29" t="str">
        <f t="shared" si="17"/>
        <v>Pump7</v>
      </c>
      <c r="L407" s="29" t="str">
        <f t="shared" si="19"/>
        <v>Total_Time_Run_M</v>
      </c>
    </row>
    <row r="408" spans="1:12" s="27" customFormat="1" hidden="1" x14ac:dyDescent="0.25">
      <c r="A408" s="25">
        <v>384</v>
      </c>
      <c r="B408" s="26" t="s">
        <v>774</v>
      </c>
      <c r="C408" s="25" t="s">
        <v>775</v>
      </c>
      <c r="D408" s="25" t="s">
        <v>24</v>
      </c>
      <c r="E408" s="26" t="s">
        <v>1350</v>
      </c>
      <c r="G408" s="28"/>
      <c r="H408" s="27" t="s">
        <v>1517</v>
      </c>
      <c r="K408" s="29" t="str">
        <f t="shared" si="17"/>
        <v>Pump7</v>
      </c>
      <c r="L408" s="29" t="str">
        <f t="shared" si="19"/>
        <v>Total_Time_Run_H</v>
      </c>
    </row>
    <row r="409" spans="1:12" s="27" customFormat="1" hidden="1" x14ac:dyDescent="0.25">
      <c r="A409" s="25">
        <v>385</v>
      </c>
      <c r="B409" s="26" t="s">
        <v>776</v>
      </c>
      <c r="C409" s="25" t="s">
        <v>777</v>
      </c>
      <c r="D409" s="25" t="s">
        <v>24</v>
      </c>
      <c r="E409" s="26" t="s">
        <v>1351</v>
      </c>
      <c r="G409" s="28"/>
      <c r="K409" s="29" t="str">
        <f t="shared" si="17"/>
        <v>Pump7</v>
      </c>
      <c r="L409" s="29" t="str">
        <f t="shared" si="19"/>
        <v>NumberOfclose</v>
      </c>
    </row>
    <row r="410" spans="1:12" s="27" customFormat="1" hidden="1" x14ac:dyDescent="0.25">
      <c r="A410" s="25">
        <v>386</v>
      </c>
      <c r="B410" s="26" t="s">
        <v>778</v>
      </c>
      <c r="C410" s="25" t="s">
        <v>779</v>
      </c>
      <c r="D410" s="25" t="s">
        <v>7</v>
      </c>
      <c r="E410" s="26" t="s">
        <v>1355</v>
      </c>
      <c r="G410" s="28" t="s">
        <v>1502</v>
      </c>
      <c r="K410" s="29" t="str">
        <f t="shared" ref="K410:K477" si="21">LEFT(B410, SEARCH("_",B410 ) - 1)</f>
        <v>Pump8</v>
      </c>
      <c r="L410" s="29" t="str">
        <f t="shared" si="19"/>
        <v>FB_auto</v>
      </c>
    </row>
    <row r="411" spans="1:12" s="27" customFormat="1" hidden="1" x14ac:dyDescent="0.25">
      <c r="A411" s="25">
        <v>387</v>
      </c>
      <c r="B411" s="26" t="s">
        <v>780</v>
      </c>
      <c r="C411" s="25" t="s">
        <v>781</v>
      </c>
      <c r="D411" s="25" t="s">
        <v>7</v>
      </c>
      <c r="E411" s="26" t="s">
        <v>1306</v>
      </c>
      <c r="G411" s="28"/>
      <c r="H411" s="27" t="s">
        <v>1505</v>
      </c>
      <c r="K411" s="29" t="str">
        <f t="shared" si="21"/>
        <v>Pump8</v>
      </c>
      <c r="L411" s="29" t="str">
        <f t="shared" si="19"/>
        <v>FB_Run</v>
      </c>
    </row>
    <row r="412" spans="1:12" s="27" customFormat="1" hidden="1" x14ac:dyDescent="0.25">
      <c r="A412" s="25">
        <v>388</v>
      </c>
      <c r="B412" s="26" t="s">
        <v>782</v>
      </c>
      <c r="C412" s="25" t="s">
        <v>783</v>
      </c>
      <c r="D412" s="25" t="s">
        <v>7</v>
      </c>
      <c r="E412" s="26" t="s">
        <v>1307</v>
      </c>
      <c r="G412" s="28"/>
      <c r="K412" s="29" t="str">
        <f t="shared" si="21"/>
        <v>Pump8</v>
      </c>
      <c r="L412" s="29" t="str">
        <f t="shared" si="19"/>
        <v>FB_Fault_V</v>
      </c>
    </row>
    <row r="413" spans="1:12" s="27" customFormat="1" hidden="1" x14ac:dyDescent="0.25">
      <c r="A413" s="25">
        <v>389</v>
      </c>
      <c r="B413" s="26" t="s">
        <v>784</v>
      </c>
      <c r="C413" s="25" t="s">
        <v>785</v>
      </c>
      <c r="D413" s="25" t="s">
        <v>7</v>
      </c>
      <c r="E413" s="26" t="s">
        <v>1307</v>
      </c>
      <c r="G413" s="28"/>
      <c r="K413" s="29" t="str">
        <f t="shared" si="21"/>
        <v>Pump8</v>
      </c>
      <c r="L413" s="29" t="str">
        <f t="shared" si="19"/>
        <v>FB_Fault_SS</v>
      </c>
    </row>
    <row r="414" spans="1:12" s="27" customFormat="1" hidden="1" x14ac:dyDescent="0.25">
      <c r="A414" s="25">
        <v>390</v>
      </c>
      <c r="B414" s="26" t="s">
        <v>786</v>
      </c>
      <c r="C414" s="25" t="s">
        <v>787</v>
      </c>
      <c r="D414" s="25" t="s">
        <v>7</v>
      </c>
      <c r="E414" s="26" t="s">
        <v>1356</v>
      </c>
      <c r="G414" s="28"/>
      <c r="K414" s="29" t="str">
        <f t="shared" si="21"/>
        <v>Pump8</v>
      </c>
      <c r="L414" s="29" t="str">
        <f t="shared" si="19"/>
        <v>FB_Fault_Temp</v>
      </c>
    </row>
    <row r="415" spans="1:12" s="27" customFormat="1" hidden="1" x14ac:dyDescent="0.25">
      <c r="A415" s="25">
        <v>391</v>
      </c>
      <c r="B415" s="26" t="s">
        <v>788</v>
      </c>
      <c r="C415" s="25" t="s">
        <v>789</v>
      </c>
      <c r="D415" s="25" t="s">
        <v>7</v>
      </c>
      <c r="E415" s="26" t="s">
        <v>1307</v>
      </c>
      <c r="G415" s="28"/>
      <c r="K415" s="29" t="str">
        <f t="shared" si="21"/>
        <v>Pump8</v>
      </c>
      <c r="L415" s="29" t="str">
        <f t="shared" ref="L415:L482" si="22">RIGHT(B415, LEN(B415)-SEARCH("_",B415 ))</f>
        <v>FB_Fault_Curent</v>
      </c>
    </row>
    <row r="416" spans="1:12" s="27" customFormat="1" hidden="1" x14ac:dyDescent="0.25">
      <c r="A416" s="25">
        <v>392</v>
      </c>
      <c r="B416" s="26" t="s">
        <v>790</v>
      </c>
      <c r="C416" s="25" t="s">
        <v>791</v>
      </c>
      <c r="D416" s="25" t="s">
        <v>7</v>
      </c>
      <c r="E416" s="26" t="s">
        <v>1357</v>
      </c>
      <c r="G416" s="28"/>
      <c r="K416" s="29" t="str">
        <f t="shared" si="21"/>
        <v>Pump8</v>
      </c>
      <c r="L416" s="29" t="str">
        <f t="shared" si="22"/>
        <v>Clock_1m</v>
      </c>
    </row>
    <row r="417" spans="1:12" s="30" customFormat="1" x14ac:dyDescent="0.25">
      <c r="A417" s="23">
        <v>393</v>
      </c>
      <c r="B417" s="24" t="s">
        <v>1549</v>
      </c>
      <c r="C417" s="23" t="s">
        <v>793</v>
      </c>
      <c r="D417" s="23" t="s">
        <v>7</v>
      </c>
      <c r="E417" s="24" t="s">
        <v>1358</v>
      </c>
      <c r="G417" s="28"/>
      <c r="H417" s="17" t="s">
        <v>1524</v>
      </c>
      <c r="K417" s="31" t="str">
        <f t="shared" si="21"/>
        <v>Pump8</v>
      </c>
      <c r="L417" s="31" t="str">
        <f t="shared" si="22"/>
        <v>FB_ON_MCCB</v>
      </c>
    </row>
    <row r="418" spans="1:12" s="30" customFormat="1" hidden="1" x14ac:dyDescent="0.25">
      <c r="A418" s="23">
        <v>8</v>
      </c>
      <c r="B418" s="32" t="s">
        <v>1550</v>
      </c>
      <c r="C418" s="23" t="s">
        <v>1538</v>
      </c>
      <c r="D418" s="23" t="s">
        <v>7</v>
      </c>
      <c r="E418" s="24" t="s">
        <v>1393</v>
      </c>
      <c r="G418" s="28"/>
      <c r="H418" s="30" t="s">
        <v>1495</v>
      </c>
      <c r="K418" s="31" t="str">
        <f t="shared" si="21"/>
        <v>Pump8</v>
      </c>
      <c r="L418" s="31" t="str">
        <f t="shared" si="22"/>
        <v>FB_Stop</v>
      </c>
    </row>
    <row r="419" spans="1:12" s="27" customFormat="1" hidden="1" x14ac:dyDescent="0.25">
      <c r="A419" s="25">
        <v>394</v>
      </c>
      <c r="B419" s="26" t="s">
        <v>794</v>
      </c>
      <c r="C419" s="25" t="s">
        <v>795</v>
      </c>
      <c r="D419" s="25" t="s">
        <v>24</v>
      </c>
      <c r="E419" s="26" t="s">
        <v>1352</v>
      </c>
      <c r="G419" s="28"/>
      <c r="H419" s="27" t="s">
        <v>1514</v>
      </c>
      <c r="K419" s="29" t="str">
        <f t="shared" si="21"/>
        <v>Pump8</v>
      </c>
      <c r="L419" s="29" t="str">
        <f t="shared" si="22"/>
        <v>FB_Temp_DEBearing</v>
      </c>
    </row>
    <row r="420" spans="1:12" s="27" customFormat="1" hidden="1" x14ac:dyDescent="0.25">
      <c r="A420" s="25">
        <v>395</v>
      </c>
      <c r="B420" s="26" t="s">
        <v>796</v>
      </c>
      <c r="C420" s="25" t="s">
        <v>797</v>
      </c>
      <c r="D420" s="25" t="s">
        <v>24</v>
      </c>
      <c r="E420" s="26" t="s">
        <v>1353</v>
      </c>
      <c r="G420" s="28"/>
      <c r="H420" s="27" t="s">
        <v>1515</v>
      </c>
      <c r="K420" s="29" t="str">
        <f t="shared" si="21"/>
        <v>Pump8</v>
      </c>
      <c r="L420" s="29" t="str">
        <f t="shared" si="22"/>
        <v>FB_Temp_NDEBearing</v>
      </c>
    </row>
    <row r="421" spans="1:12" s="27" customFormat="1" hidden="1" x14ac:dyDescent="0.25">
      <c r="A421" s="25">
        <v>396</v>
      </c>
      <c r="B421" s="26" t="s">
        <v>798</v>
      </c>
      <c r="C421" s="25" t="s">
        <v>799</v>
      </c>
      <c r="D421" s="25" t="s">
        <v>24</v>
      </c>
      <c r="E421" s="26" t="s">
        <v>1308</v>
      </c>
      <c r="G421" s="28"/>
      <c r="H421" s="27" t="s">
        <v>1511</v>
      </c>
      <c r="K421" s="29" t="str">
        <f t="shared" si="21"/>
        <v>Pump8</v>
      </c>
      <c r="L421" s="29" t="str">
        <f t="shared" si="22"/>
        <v>FB_Temp_PhaseA</v>
      </c>
    </row>
    <row r="422" spans="1:12" s="27" customFormat="1" hidden="1" x14ac:dyDescent="0.25">
      <c r="A422" s="25">
        <v>397</v>
      </c>
      <c r="B422" s="26" t="s">
        <v>800</v>
      </c>
      <c r="C422" s="25" t="s">
        <v>801</v>
      </c>
      <c r="D422" s="25" t="s">
        <v>24</v>
      </c>
      <c r="E422" s="26" t="s">
        <v>1309</v>
      </c>
      <c r="G422" s="28"/>
      <c r="H422" s="27" t="s">
        <v>1512</v>
      </c>
      <c r="K422" s="29" t="str">
        <f t="shared" si="21"/>
        <v>Pump8</v>
      </c>
      <c r="L422" s="29" t="str">
        <f t="shared" si="22"/>
        <v>FB_Temp_PhaseB</v>
      </c>
    </row>
    <row r="423" spans="1:12" s="27" customFormat="1" hidden="1" x14ac:dyDescent="0.25">
      <c r="A423" s="25">
        <v>398</v>
      </c>
      <c r="B423" s="26" t="s">
        <v>802</v>
      </c>
      <c r="C423" s="25" t="s">
        <v>803</v>
      </c>
      <c r="D423" s="25" t="s">
        <v>24</v>
      </c>
      <c r="E423" s="26" t="s">
        <v>1310</v>
      </c>
      <c r="G423" s="28"/>
      <c r="H423" s="27" t="s">
        <v>1513</v>
      </c>
      <c r="K423" s="29" t="str">
        <f t="shared" si="21"/>
        <v>Pump8</v>
      </c>
      <c r="L423" s="29" t="str">
        <f t="shared" si="22"/>
        <v>FB_Temp_PhaseC</v>
      </c>
    </row>
    <row r="424" spans="1:12" s="27" customFormat="1" hidden="1" x14ac:dyDescent="0.25">
      <c r="A424" s="25">
        <v>399</v>
      </c>
      <c r="B424" s="26" t="s">
        <v>804</v>
      </c>
      <c r="C424" s="25" t="s">
        <v>805</v>
      </c>
      <c r="D424" s="25" t="s">
        <v>35</v>
      </c>
      <c r="E424" s="26" t="s">
        <v>1315</v>
      </c>
      <c r="G424" s="28"/>
      <c r="K424" s="29" t="str">
        <f t="shared" si="21"/>
        <v>Meter8</v>
      </c>
      <c r="L424" s="29" t="str">
        <f t="shared" si="22"/>
        <v>U1</v>
      </c>
    </row>
    <row r="425" spans="1:12" s="27" customFormat="1" hidden="1" x14ac:dyDescent="0.25">
      <c r="A425" s="25">
        <v>400</v>
      </c>
      <c r="B425" s="26" t="s">
        <v>806</v>
      </c>
      <c r="C425" s="25" t="s">
        <v>807</v>
      </c>
      <c r="D425" s="25" t="s">
        <v>35</v>
      </c>
      <c r="E425" s="26" t="s">
        <v>1316</v>
      </c>
      <c r="G425" s="28"/>
      <c r="K425" s="29" t="str">
        <f t="shared" si="21"/>
        <v>Meter8</v>
      </c>
      <c r="L425" s="29" t="str">
        <f t="shared" si="22"/>
        <v>U2</v>
      </c>
    </row>
    <row r="426" spans="1:12" s="27" customFormat="1" hidden="1" x14ac:dyDescent="0.25">
      <c r="A426" s="25">
        <v>401</v>
      </c>
      <c r="B426" s="26" t="s">
        <v>808</v>
      </c>
      <c r="C426" s="25" t="s">
        <v>809</v>
      </c>
      <c r="D426" s="25" t="s">
        <v>35</v>
      </c>
      <c r="E426" s="26" t="s">
        <v>1317</v>
      </c>
      <c r="G426" s="28"/>
      <c r="K426" s="29" t="str">
        <f t="shared" si="21"/>
        <v>Meter8</v>
      </c>
      <c r="L426" s="29" t="str">
        <f t="shared" si="22"/>
        <v>U3</v>
      </c>
    </row>
    <row r="427" spans="1:12" s="27" customFormat="1" hidden="1" x14ac:dyDescent="0.25">
      <c r="A427" s="25">
        <v>402</v>
      </c>
      <c r="B427" s="26" t="s">
        <v>810</v>
      </c>
      <c r="C427" s="25" t="s">
        <v>811</v>
      </c>
      <c r="D427" s="25" t="s">
        <v>35</v>
      </c>
      <c r="E427" s="26" t="s">
        <v>1318</v>
      </c>
      <c r="G427" s="28"/>
      <c r="K427" s="29" t="str">
        <f t="shared" si="21"/>
        <v>Meter8</v>
      </c>
      <c r="L427" s="29" t="str">
        <f t="shared" si="22"/>
        <v>U_Ph</v>
      </c>
    </row>
    <row r="428" spans="1:12" s="27" customFormat="1" hidden="1" x14ac:dyDescent="0.25">
      <c r="A428" s="25">
        <v>403</v>
      </c>
      <c r="B428" s="26" t="s">
        <v>812</v>
      </c>
      <c r="C428" s="25" t="s">
        <v>813</v>
      </c>
      <c r="D428" s="25" t="s">
        <v>35</v>
      </c>
      <c r="E428" s="26" t="s">
        <v>1319</v>
      </c>
      <c r="G428" s="28"/>
      <c r="H428" s="27" t="s">
        <v>1319</v>
      </c>
      <c r="K428" s="29" t="str">
        <f t="shared" si="21"/>
        <v>Meter8</v>
      </c>
      <c r="L428" s="29" t="str">
        <f t="shared" si="22"/>
        <v>U12</v>
      </c>
    </row>
    <row r="429" spans="1:12" s="27" customFormat="1" hidden="1" x14ac:dyDescent="0.25">
      <c r="A429" s="25">
        <v>404</v>
      </c>
      <c r="B429" s="26" t="s">
        <v>814</v>
      </c>
      <c r="C429" s="25" t="s">
        <v>815</v>
      </c>
      <c r="D429" s="25" t="s">
        <v>35</v>
      </c>
      <c r="E429" s="26" t="s">
        <v>1320</v>
      </c>
      <c r="G429" s="28"/>
      <c r="H429" s="27" t="s">
        <v>1320</v>
      </c>
      <c r="K429" s="29" t="str">
        <f t="shared" si="21"/>
        <v>Meter8</v>
      </c>
      <c r="L429" s="29" t="str">
        <f t="shared" si="22"/>
        <v>U23</v>
      </c>
    </row>
    <row r="430" spans="1:12" s="27" customFormat="1" hidden="1" x14ac:dyDescent="0.25">
      <c r="A430" s="25">
        <v>405</v>
      </c>
      <c r="B430" s="26" t="s">
        <v>816</v>
      </c>
      <c r="C430" s="25" t="s">
        <v>817</v>
      </c>
      <c r="D430" s="25" t="s">
        <v>35</v>
      </c>
      <c r="E430" s="26" t="s">
        <v>1321</v>
      </c>
      <c r="G430" s="28"/>
      <c r="H430" s="27" t="s">
        <v>1516</v>
      </c>
      <c r="K430" s="29" t="str">
        <f t="shared" si="21"/>
        <v>Meter8</v>
      </c>
      <c r="L430" s="29" t="str">
        <f t="shared" si="22"/>
        <v>U31</v>
      </c>
    </row>
    <row r="431" spans="1:12" s="27" customFormat="1" hidden="1" x14ac:dyDescent="0.25">
      <c r="A431" s="25">
        <v>406</v>
      </c>
      <c r="B431" s="26" t="s">
        <v>818</v>
      </c>
      <c r="C431" s="25" t="s">
        <v>819</v>
      </c>
      <c r="D431" s="25" t="s">
        <v>35</v>
      </c>
      <c r="E431" s="26" t="s">
        <v>1322</v>
      </c>
      <c r="G431" s="28"/>
      <c r="K431" s="29" t="str">
        <f t="shared" si="21"/>
        <v>Meter8</v>
      </c>
      <c r="L431" s="29" t="str">
        <f t="shared" si="22"/>
        <v>Uline</v>
      </c>
    </row>
    <row r="432" spans="1:12" s="27" customFormat="1" hidden="1" x14ac:dyDescent="0.25">
      <c r="A432" s="25">
        <v>407</v>
      </c>
      <c r="B432" s="26" t="s">
        <v>820</v>
      </c>
      <c r="C432" s="25" t="s">
        <v>821</v>
      </c>
      <c r="D432" s="25" t="s">
        <v>35</v>
      </c>
      <c r="E432" s="26" t="s">
        <v>1312</v>
      </c>
      <c r="G432" s="28"/>
      <c r="H432" s="29"/>
      <c r="K432" s="29" t="str">
        <f t="shared" si="21"/>
        <v>Meter8</v>
      </c>
      <c r="L432" s="29" t="str">
        <f t="shared" si="22"/>
        <v>I1</v>
      </c>
    </row>
    <row r="433" spans="1:12" s="27" customFormat="1" hidden="1" x14ac:dyDescent="0.25">
      <c r="A433" s="25">
        <v>408</v>
      </c>
      <c r="B433" s="26" t="s">
        <v>822</v>
      </c>
      <c r="C433" s="25" t="s">
        <v>823</v>
      </c>
      <c r="D433" s="25" t="s">
        <v>35</v>
      </c>
      <c r="E433" s="26" t="s">
        <v>1313</v>
      </c>
      <c r="G433" s="28"/>
      <c r="H433" s="29"/>
      <c r="K433" s="29" t="str">
        <f t="shared" si="21"/>
        <v>Meter8</v>
      </c>
      <c r="L433" s="29" t="str">
        <f t="shared" si="22"/>
        <v>I2</v>
      </c>
    </row>
    <row r="434" spans="1:12" s="27" customFormat="1" hidden="1" x14ac:dyDescent="0.25">
      <c r="A434" s="25">
        <v>409</v>
      </c>
      <c r="B434" s="26" t="s">
        <v>824</v>
      </c>
      <c r="C434" s="25" t="s">
        <v>825</v>
      </c>
      <c r="D434" s="25" t="s">
        <v>35</v>
      </c>
      <c r="E434" s="26" t="s">
        <v>1314</v>
      </c>
      <c r="G434" s="28"/>
      <c r="H434" s="29"/>
      <c r="K434" s="29" t="str">
        <f t="shared" si="21"/>
        <v>Meter8</v>
      </c>
      <c r="L434" s="29" t="str">
        <f t="shared" si="22"/>
        <v>I3</v>
      </c>
    </row>
    <row r="435" spans="1:12" s="27" customFormat="1" hidden="1" x14ac:dyDescent="0.25">
      <c r="A435" s="25">
        <v>410</v>
      </c>
      <c r="B435" s="26" t="s">
        <v>826</v>
      </c>
      <c r="C435" s="25" t="s">
        <v>827</v>
      </c>
      <c r="D435" s="25" t="s">
        <v>35</v>
      </c>
      <c r="E435" s="26" t="s">
        <v>1311</v>
      </c>
      <c r="G435" s="28"/>
      <c r="H435" s="26" t="s">
        <v>1311</v>
      </c>
      <c r="K435" s="29" t="str">
        <f t="shared" si="21"/>
        <v>Meter8</v>
      </c>
      <c r="L435" s="29" t="str">
        <f t="shared" si="22"/>
        <v>I_ph</v>
      </c>
    </row>
    <row r="436" spans="1:12" s="27" customFormat="1" hidden="1" x14ac:dyDescent="0.25">
      <c r="A436" s="25">
        <v>411</v>
      </c>
      <c r="B436" s="26" t="s">
        <v>828</v>
      </c>
      <c r="C436" s="25" t="s">
        <v>829</v>
      </c>
      <c r="D436" s="25" t="s">
        <v>35</v>
      </c>
      <c r="E436" s="26" t="s">
        <v>1323</v>
      </c>
      <c r="G436" s="28"/>
      <c r="K436" s="29" t="str">
        <f t="shared" si="21"/>
        <v>Meter8</v>
      </c>
      <c r="L436" s="29" t="str">
        <f t="shared" si="22"/>
        <v>kw1</v>
      </c>
    </row>
    <row r="437" spans="1:12" s="27" customFormat="1" hidden="1" x14ac:dyDescent="0.25">
      <c r="A437" s="25">
        <v>412</v>
      </c>
      <c r="B437" s="26" t="s">
        <v>830</v>
      </c>
      <c r="C437" s="25" t="s">
        <v>831</v>
      </c>
      <c r="D437" s="25" t="s">
        <v>35</v>
      </c>
      <c r="E437" s="26" t="s">
        <v>1324</v>
      </c>
      <c r="G437" s="28"/>
      <c r="K437" s="29" t="str">
        <f t="shared" si="21"/>
        <v>Meter8</v>
      </c>
      <c r="L437" s="29" t="str">
        <f t="shared" si="22"/>
        <v>kw2</v>
      </c>
    </row>
    <row r="438" spans="1:12" s="27" customFormat="1" hidden="1" x14ac:dyDescent="0.25">
      <c r="A438" s="25">
        <v>413</v>
      </c>
      <c r="B438" s="26" t="s">
        <v>832</v>
      </c>
      <c r="C438" s="25" t="s">
        <v>833</v>
      </c>
      <c r="D438" s="25" t="s">
        <v>35</v>
      </c>
      <c r="E438" s="26" t="s">
        <v>1325</v>
      </c>
      <c r="G438" s="28"/>
      <c r="K438" s="29" t="str">
        <f t="shared" si="21"/>
        <v>Meter8</v>
      </c>
      <c r="L438" s="29" t="str">
        <f t="shared" si="22"/>
        <v>kw3</v>
      </c>
    </row>
    <row r="439" spans="1:12" s="27" customFormat="1" hidden="1" x14ac:dyDescent="0.25">
      <c r="A439" s="25">
        <v>414</v>
      </c>
      <c r="B439" s="26" t="s">
        <v>834</v>
      </c>
      <c r="C439" s="25" t="s">
        <v>835</v>
      </c>
      <c r="D439" s="25" t="s">
        <v>35</v>
      </c>
      <c r="E439" s="26" t="s">
        <v>1326</v>
      </c>
      <c r="G439" s="28"/>
      <c r="K439" s="29" t="str">
        <f t="shared" si="21"/>
        <v>Meter8</v>
      </c>
      <c r="L439" s="29" t="str">
        <f t="shared" si="22"/>
        <v>kva1</v>
      </c>
    </row>
    <row r="440" spans="1:12" s="27" customFormat="1" hidden="1" x14ac:dyDescent="0.25">
      <c r="A440" s="25">
        <v>415</v>
      </c>
      <c r="B440" s="26" t="s">
        <v>836</v>
      </c>
      <c r="C440" s="25" t="s">
        <v>837</v>
      </c>
      <c r="D440" s="25" t="s">
        <v>35</v>
      </c>
      <c r="E440" s="26" t="s">
        <v>1327</v>
      </c>
      <c r="G440" s="28"/>
      <c r="K440" s="29" t="str">
        <f t="shared" si="21"/>
        <v>Meter8</v>
      </c>
      <c r="L440" s="29" t="str">
        <f t="shared" si="22"/>
        <v>kva2</v>
      </c>
    </row>
    <row r="441" spans="1:12" s="27" customFormat="1" hidden="1" x14ac:dyDescent="0.25">
      <c r="A441" s="25">
        <v>416</v>
      </c>
      <c r="B441" s="26" t="s">
        <v>838</v>
      </c>
      <c r="C441" s="25" t="s">
        <v>839</v>
      </c>
      <c r="D441" s="25" t="s">
        <v>35</v>
      </c>
      <c r="E441" s="26" t="s">
        <v>1328</v>
      </c>
      <c r="G441" s="28"/>
      <c r="K441" s="29" t="str">
        <f t="shared" si="21"/>
        <v>Meter8</v>
      </c>
      <c r="L441" s="29" t="str">
        <f t="shared" si="22"/>
        <v>kva3</v>
      </c>
    </row>
    <row r="442" spans="1:12" s="27" customFormat="1" hidden="1" x14ac:dyDescent="0.25">
      <c r="A442" s="25">
        <v>417</v>
      </c>
      <c r="B442" s="26" t="s">
        <v>840</v>
      </c>
      <c r="C442" s="25" t="s">
        <v>841</v>
      </c>
      <c r="D442" s="25" t="s">
        <v>35</v>
      </c>
      <c r="E442" s="26" t="s">
        <v>1329</v>
      </c>
      <c r="G442" s="28"/>
      <c r="K442" s="29" t="str">
        <f t="shared" si="21"/>
        <v>Meter8</v>
      </c>
      <c r="L442" s="29" t="str">
        <f t="shared" si="22"/>
        <v>kvar1</v>
      </c>
    </row>
    <row r="443" spans="1:12" s="27" customFormat="1" hidden="1" x14ac:dyDescent="0.25">
      <c r="A443" s="25">
        <v>418</v>
      </c>
      <c r="B443" s="26" t="s">
        <v>842</v>
      </c>
      <c r="C443" s="25" t="s">
        <v>843</v>
      </c>
      <c r="D443" s="25" t="s">
        <v>35</v>
      </c>
      <c r="E443" s="26" t="s">
        <v>1330</v>
      </c>
      <c r="G443" s="28"/>
      <c r="K443" s="29" t="str">
        <f t="shared" si="21"/>
        <v>Meter8</v>
      </c>
      <c r="L443" s="29" t="str">
        <f t="shared" si="22"/>
        <v>kvar2</v>
      </c>
    </row>
    <row r="444" spans="1:12" s="27" customFormat="1" hidden="1" x14ac:dyDescent="0.25">
      <c r="A444" s="25">
        <v>419</v>
      </c>
      <c r="B444" s="26" t="s">
        <v>844</v>
      </c>
      <c r="C444" s="25" t="s">
        <v>845</v>
      </c>
      <c r="D444" s="25" t="s">
        <v>35</v>
      </c>
      <c r="E444" s="26" t="s">
        <v>1331</v>
      </c>
      <c r="G444" s="28"/>
      <c r="K444" s="29" t="str">
        <f t="shared" si="21"/>
        <v>Meter8</v>
      </c>
      <c r="L444" s="29" t="str">
        <f t="shared" si="22"/>
        <v>kvar3</v>
      </c>
    </row>
    <row r="445" spans="1:12" s="27" customFormat="1" hidden="1" x14ac:dyDescent="0.25">
      <c r="A445" s="25">
        <v>420</v>
      </c>
      <c r="B445" s="26" t="s">
        <v>846</v>
      </c>
      <c r="C445" s="25" t="s">
        <v>847</v>
      </c>
      <c r="D445" s="25" t="s">
        <v>35</v>
      </c>
      <c r="E445" s="26" t="s">
        <v>1332</v>
      </c>
      <c r="G445" s="28"/>
      <c r="H445" s="27" t="s">
        <v>1482</v>
      </c>
      <c r="K445" s="29" t="str">
        <f t="shared" si="21"/>
        <v>Meter8</v>
      </c>
      <c r="L445" s="29" t="str">
        <f t="shared" si="22"/>
        <v>total_kw</v>
      </c>
    </row>
    <row r="446" spans="1:12" s="27" customFormat="1" hidden="1" x14ac:dyDescent="0.25">
      <c r="A446" s="25">
        <v>421</v>
      </c>
      <c r="B446" s="26" t="s">
        <v>848</v>
      </c>
      <c r="C446" s="25" t="s">
        <v>849</v>
      </c>
      <c r="D446" s="25" t="s">
        <v>35</v>
      </c>
      <c r="E446" s="26" t="s">
        <v>1333</v>
      </c>
      <c r="G446" s="28"/>
      <c r="K446" s="29" t="str">
        <f t="shared" si="21"/>
        <v>Meter8</v>
      </c>
      <c r="L446" s="29" t="str">
        <f t="shared" si="22"/>
        <v>total_kva</v>
      </c>
    </row>
    <row r="447" spans="1:12" s="27" customFormat="1" hidden="1" x14ac:dyDescent="0.25">
      <c r="A447" s="25">
        <v>422</v>
      </c>
      <c r="B447" s="26" t="s">
        <v>850</v>
      </c>
      <c r="C447" s="25" t="s">
        <v>851</v>
      </c>
      <c r="D447" s="25" t="s">
        <v>35</v>
      </c>
      <c r="E447" s="26" t="s">
        <v>1334</v>
      </c>
      <c r="G447" s="28"/>
      <c r="K447" s="29" t="str">
        <f t="shared" si="21"/>
        <v>Meter8</v>
      </c>
      <c r="L447" s="29" t="str">
        <f t="shared" si="22"/>
        <v>total_kvar</v>
      </c>
    </row>
    <row r="448" spans="1:12" s="27" customFormat="1" hidden="1" x14ac:dyDescent="0.25">
      <c r="A448" s="25">
        <v>423</v>
      </c>
      <c r="B448" s="26" t="s">
        <v>852</v>
      </c>
      <c r="C448" s="25" t="s">
        <v>853</v>
      </c>
      <c r="D448" s="25" t="s">
        <v>35</v>
      </c>
      <c r="E448" s="26" t="s">
        <v>1335</v>
      </c>
      <c r="G448" s="28"/>
      <c r="K448" s="29" t="str">
        <f t="shared" si="21"/>
        <v>Meter8</v>
      </c>
      <c r="L448" s="29" t="str">
        <f t="shared" si="22"/>
        <v>PF1</v>
      </c>
    </row>
    <row r="449" spans="1:12" s="27" customFormat="1" hidden="1" x14ac:dyDescent="0.25">
      <c r="A449" s="25">
        <v>424</v>
      </c>
      <c r="B449" s="26" t="s">
        <v>854</v>
      </c>
      <c r="C449" s="25" t="s">
        <v>855</v>
      </c>
      <c r="D449" s="25" t="s">
        <v>35</v>
      </c>
      <c r="E449" s="26" t="s">
        <v>1336</v>
      </c>
      <c r="G449" s="28"/>
      <c r="K449" s="29" t="str">
        <f t="shared" si="21"/>
        <v>Meter8</v>
      </c>
      <c r="L449" s="29" t="str">
        <f t="shared" si="22"/>
        <v>PF2</v>
      </c>
    </row>
    <row r="450" spans="1:12" s="27" customFormat="1" hidden="1" x14ac:dyDescent="0.25">
      <c r="A450" s="25">
        <v>425</v>
      </c>
      <c r="B450" s="26" t="s">
        <v>856</v>
      </c>
      <c r="C450" s="25" t="s">
        <v>857</v>
      </c>
      <c r="D450" s="25" t="s">
        <v>35</v>
      </c>
      <c r="E450" s="26" t="s">
        <v>1337</v>
      </c>
      <c r="G450" s="28"/>
      <c r="K450" s="29" t="str">
        <f t="shared" si="21"/>
        <v>Meter8</v>
      </c>
      <c r="L450" s="29" t="str">
        <f t="shared" si="22"/>
        <v>PF3</v>
      </c>
    </row>
    <row r="451" spans="1:12" s="27" customFormat="1" hidden="1" x14ac:dyDescent="0.25">
      <c r="A451" s="25">
        <v>426</v>
      </c>
      <c r="B451" s="26" t="s">
        <v>858</v>
      </c>
      <c r="C451" s="25" t="s">
        <v>859</v>
      </c>
      <c r="D451" s="25" t="s">
        <v>35</v>
      </c>
      <c r="E451" s="26" t="s">
        <v>1338</v>
      </c>
      <c r="G451" s="28"/>
      <c r="H451" s="27" t="s">
        <v>1405</v>
      </c>
      <c r="K451" s="29" t="str">
        <f t="shared" si="21"/>
        <v>Meter8</v>
      </c>
      <c r="L451" s="29" t="str">
        <f t="shared" si="22"/>
        <v>PF</v>
      </c>
    </row>
    <row r="452" spans="1:12" s="27" customFormat="1" hidden="1" x14ac:dyDescent="0.25">
      <c r="A452" s="25">
        <v>427</v>
      </c>
      <c r="B452" s="26" t="s">
        <v>860</v>
      </c>
      <c r="C452" s="25" t="s">
        <v>861</v>
      </c>
      <c r="D452" s="25" t="s">
        <v>35</v>
      </c>
      <c r="E452" s="26" t="s">
        <v>1339</v>
      </c>
      <c r="G452" s="28"/>
      <c r="H452" s="27" t="s">
        <v>1339</v>
      </c>
      <c r="K452" s="29" t="str">
        <f t="shared" si="21"/>
        <v>Meter8</v>
      </c>
      <c r="L452" s="29" t="str">
        <f t="shared" si="22"/>
        <v>freq</v>
      </c>
    </row>
    <row r="453" spans="1:12" s="27" customFormat="1" hidden="1" x14ac:dyDescent="0.25">
      <c r="A453" s="25">
        <v>428</v>
      </c>
      <c r="B453" s="26" t="s">
        <v>862</v>
      </c>
      <c r="C453" s="25" t="s">
        <v>863</v>
      </c>
      <c r="D453" s="25" t="s">
        <v>35</v>
      </c>
      <c r="E453" s="26" t="s">
        <v>1340</v>
      </c>
      <c r="G453" s="28"/>
      <c r="H453" s="27" t="s">
        <v>1340</v>
      </c>
      <c r="K453" s="29" t="str">
        <f t="shared" si="21"/>
        <v>Meter8</v>
      </c>
      <c r="L453" s="29" t="str">
        <f t="shared" si="22"/>
        <v>kwh</v>
      </c>
    </row>
    <row r="454" spans="1:12" s="27" customFormat="1" hidden="1" x14ac:dyDescent="0.25">
      <c r="A454" s="25">
        <v>429</v>
      </c>
      <c r="B454" s="26" t="s">
        <v>864</v>
      </c>
      <c r="C454" s="25" t="s">
        <v>865</v>
      </c>
      <c r="D454" s="25" t="s">
        <v>35</v>
      </c>
      <c r="E454" s="26" t="s">
        <v>1341</v>
      </c>
      <c r="G454" s="28"/>
      <c r="K454" s="29" t="str">
        <f t="shared" si="21"/>
        <v>Meter8</v>
      </c>
      <c r="L454" s="29" t="str">
        <f t="shared" si="22"/>
        <v>kvah</v>
      </c>
    </row>
    <row r="455" spans="1:12" s="27" customFormat="1" hidden="1" x14ac:dyDescent="0.25">
      <c r="A455" s="25">
        <v>430</v>
      </c>
      <c r="B455" s="26" t="s">
        <v>866</v>
      </c>
      <c r="C455" s="25" t="s">
        <v>867</v>
      </c>
      <c r="D455" s="25" t="s">
        <v>35</v>
      </c>
      <c r="E455" s="26" t="s">
        <v>1342</v>
      </c>
      <c r="G455" s="28"/>
      <c r="K455" s="29" t="str">
        <f t="shared" si="21"/>
        <v>Meter8</v>
      </c>
      <c r="L455" s="29" t="str">
        <f t="shared" si="22"/>
        <v>kvarh</v>
      </c>
    </row>
    <row r="456" spans="1:12" s="27" customFormat="1" hidden="1" x14ac:dyDescent="0.25">
      <c r="A456" s="25">
        <v>431</v>
      </c>
      <c r="B456" s="26" t="s">
        <v>868</v>
      </c>
      <c r="C456" s="25" t="s">
        <v>869</v>
      </c>
      <c r="D456" s="25" t="s">
        <v>7</v>
      </c>
      <c r="E456" s="26" t="s">
        <v>1343</v>
      </c>
      <c r="G456" s="28"/>
      <c r="K456" s="29" t="str">
        <f t="shared" si="21"/>
        <v>Pump8</v>
      </c>
      <c r="L456" s="29" t="str">
        <f t="shared" si="22"/>
        <v>Ctrl_run_Pump</v>
      </c>
    </row>
    <row r="457" spans="1:12" s="27" customFormat="1" hidden="1" x14ac:dyDescent="0.25">
      <c r="A457" s="25">
        <v>432</v>
      </c>
      <c r="B457" s="26" t="s">
        <v>870</v>
      </c>
      <c r="C457" s="25" t="s">
        <v>871</v>
      </c>
      <c r="D457" s="25" t="s">
        <v>7</v>
      </c>
      <c r="E457" s="26" t="s">
        <v>1354</v>
      </c>
      <c r="G457" s="28"/>
      <c r="H457" s="27" t="s">
        <v>1496</v>
      </c>
      <c r="K457" s="29" t="str">
        <f t="shared" si="21"/>
        <v>Pump8</v>
      </c>
      <c r="L457" s="29" t="str">
        <f t="shared" si="22"/>
        <v>FB_Fault</v>
      </c>
    </row>
    <row r="458" spans="1:12" s="27" customFormat="1" hidden="1" x14ac:dyDescent="0.25">
      <c r="A458" s="25">
        <v>433</v>
      </c>
      <c r="B458" s="26" t="s">
        <v>872</v>
      </c>
      <c r="C458" s="25" t="s">
        <v>873</v>
      </c>
      <c r="D458" s="25" t="s">
        <v>7</v>
      </c>
      <c r="E458" s="26" t="s">
        <v>1344</v>
      </c>
      <c r="G458" s="28"/>
      <c r="K458" s="29" t="str">
        <f t="shared" si="21"/>
        <v>Pump8</v>
      </c>
      <c r="L458" s="29" t="str">
        <f t="shared" si="22"/>
        <v>Ctrl_PB_Run</v>
      </c>
    </row>
    <row r="459" spans="1:12" s="27" customFormat="1" hidden="1" x14ac:dyDescent="0.25">
      <c r="A459" s="25">
        <v>434</v>
      </c>
      <c r="B459" s="26" t="s">
        <v>874</v>
      </c>
      <c r="C459" s="25" t="s">
        <v>875</v>
      </c>
      <c r="D459" s="25" t="s">
        <v>7</v>
      </c>
      <c r="E459" s="26" t="s">
        <v>1345</v>
      </c>
      <c r="G459" s="28"/>
      <c r="K459" s="29" t="str">
        <f t="shared" si="21"/>
        <v>Pump8</v>
      </c>
      <c r="L459" s="29" t="str">
        <f t="shared" si="22"/>
        <v>Ctrl_PB_Stop</v>
      </c>
    </row>
    <row r="460" spans="1:12" s="27" customFormat="1" hidden="1" x14ac:dyDescent="0.25">
      <c r="A460" s="25">
        <v>435</v>
      </c>
      <c r="B460" s="26" t="s">
        <v>876</v>
      </c>
      <c r="C460" s="25" t="s">
        <v>877</v>
      </c>
      <c r="D460" s="25" t="s">
        <v>7</v>
      </c>
      <c r="E460" s="26" t="s">
        <v>1346</v>
      </c>
      <c r="G460" s="28"/>
      <c r="K460" s="29" t="str">
        <f t="shared" si="21"/>
        <v>Pump8</v>
      </c>
      <c r="L460" s="29" t="str">
        <f t="shared" si="22"/>
        <v>Ctrl_PB_RST</v>
      </c>
    </row>
    <row r="461" spans="1:12" s="30" customFormat="1" hidden="1" x14ac:dyDescent="0.25">
      <c r="A461" s="23">
        <v>50</v>
      </c>
      <c r="B461" s="24" t="s">
        <v>1578</v>
      </c>
      <c r="C461" s="23" t="s">
        <v>1592</v>
      </c>
      <c r="D461" s="23" t="s">
        <v>7</v>
      </c>
      <c r="E461" s="24" t="s">
        <v>1558</v>
      </c>
      <c r="G461" s="28"/>
      <c r="K461" s="31" t="str">
        <f t="shared" si="21"/>
        <v>Pump8</v>
      </c>
      <c r="L461" s="31" t="str">
        <f t="shared" si="22"/>
        <v>Ctrl_PB_Maintenance</v>
      </c>
    </row>
    <row r="462" spans="1:12" s="30" customFormat="1" hidden="1" x14ac:dyDescent="0.25">
      <c r="A462" s="23">
        <v>50</v>
      </c>
      <c r="B462" s="24" t="s">
        <v>1579</v>
      </c>
      <c r="C462" s="23" t="s">
        <v>1593</v>
      </c>
      <c r="D462" s="23" t="s">
        <v>7</v>
      </c>
      <c r="E462" s="24" t="s">
        <v>1559</v>
      </c>
      <c r="G462" s="28"/>
      <c r="H462" s="30" t="s">
        <v>1563</v>
      </c>
      <c r="K462" s="31" t="str">
        <f t="shared" si="21"/>
        <v>Pump8</v>
      </c>
      <c r="L462" s="31" t="str">
        <f t="shared" si="22"/>
        <v>FB_Maintenance</v>
      </c>
    </row>
    <row r="463" spans="1:12" s="27" customFormat="1" hidden="1" x14ac:dyDescent="0.25">
      <c r="A463" s="25">
        <v>436</v>
      </c>
      <c r="B463" s="26" t="s">
        <v>878</v>
      </c>
      <c r="C463" s="25" t="s">
        <v>879</v>
      </c>
      <c r="D463" s="25" t="s">
        <v>24</v>
      </c>
      <c r="E463" s="26" t="s">
        <v>1347</v>
      </c>
      <c r="G463" s="28"/>
      <c r="H463" s="27" t="s">
        <v>1518</v>
      </c>
      <c r="K463" s="29" t="str">
        <f t="shared" si="21"/>
        <v>Pump8</v>
      </c>
      <c r="L463" s="29" t="str">
        <f t="shared" si="22"/>
        <v>Time_Run_M</v>
      </c>
    </row>
    <row r="464" spans="1:12" s="27" customFormat="1" hidden="1" x14ac:dyDescent="0.25">
      <c r="A464" s="25">
        <v>437</v>
      </c>
      <c r="B464" s="26" t="s">
        <v>880</v>
      </c>
      <c r="C464" s="25" t="s">
        <v>881</v>
      </c>
      <c r="D464" s="25" t="s">
        <v>24</v>
      </c>
      <c r="E464" s="26" t="s">
        <v>1348</v>
      </c>
      <c r="G464" s="28"/>
      <c r="H464" s="27" t="s">
        <v>1518</v>
      </c>
      <c r="K464" s="29" t="str">
        <f t="shared" si="21"/>
        <v>Pump8</v>
      </c>
      <c r="L464" s="29" t="str">
        <f t="shared" si="22"/>
        <v>Time_Run_H</v>
      </c>
    </row>
    <row r="465" spans="1:12" s="27" customFormat="1" hidden="1" x14ac:dyDescent="0.25">
      <c r="A465" s="25">
        <v>438</v>
      </c>
      <c r="B465" s="26" t="s">
        <v>882</v>
      </c>
      <c r="C465" s="25" t="s">
        <v>883</v>
      </c>
      <c r="D465" s="25" t="s">
        <v>24</v>
      </c>
      <c r="E465" s="26" t="s">
        <v>1349</v>
      </c>
      <c r="G465" s="28"/>
      <c r="H465" s="27" t="s">
        <v>1517</v>
      </c>
      <c r="K465" s="29" t="str">
        <f t="shared" si="21"/>
        <v>Pump8</v>
      </c>
      <c r="L465" s="29" t="str">
        <f t="shared" si="22"/>
        <v>Total_Time_Run_M</v>
      </c>
    </row>
    <row r="466" spans="1:12" s="27" customFormat="1" hidden="1" x14ac:dyDescent="0.25">
      <c r="A466" s="25">
        <v>439</v>
      </c>
      <c r="B466" s="26" t="s">
        <v>884</v>
      </c>
      <c r="C466" s="25" t="s">
        <v>885</v>
      </c>
      <c r="D466" s="25" t="s">
        <v>24</v>
      </c>
      <c r="E466" s="26" t="s">
        <v>1350</v>
      </c>
      <c r="G466" s="28"/>
      <c r="H466" s="27" t="s">
        <v>1517</v>
      </c>
      <c r="K466" s="29" t="str">
        <f t="shared" si="21"/>
        <v>Pump8</v>
      </c>
      <c r="L466" s="29" t="str">
        <f t="shared" si="22"/>
        <v>Total_Time_Run_H</v>
      </c>
    </row>
    <row r="467" spans="1:12" s="27" customFormat="1" hidden="1" x14ac:dyDescent="0.25">
      <c r="A467" s="25">
        <v>440</v>
      </c>
      <c r="B467" s="26" t="s">
        <v>886</v>
      </c>
      <c r="C467" s="25" t="s">
        <v>887</v>
      </c>
      <c r="D467" s="25" t="s">
        <v>24</v>
      </c>
      <c r="E467" s="26" t="s">
        <v>1351</v>
      </c>
      <c r="G467" s="28"/>
      <c r="K467" s="29" t="str">
        <f t="shared" si="21"/>
        <v>Pump8</v>
      </c>
      <c r="L467" s="29" t="str">
        <f t="shared" si="22"/>
        <v>NumberOfclose</v>
      </c>
    </row>
    <row r="468" spans="1:12" s="27" customFormat="1" hidden="1" x14ac:dyDescent="0.25">
      <c r="A468" s="25">
        <v>441</v>
      </c>
      <c r="B468" s="26" t="s">
        <v>888</v>
      </c>
      <c r="C468" s="25" t="s">
        <v>889</v>
      </c>
      <c r="D468" s="25" t="s">
        <v>7</v>
      </c>
      <c r="E468" s="26" t="s">
        <v>1355</v>
      </c>
      <c r="G468" s="28" t="s">
        <v>1503</v>
      </c>
      <c r="K468" s="29" t="str">
        <f t="shared" si="21"/>
        <v>Pump9</v>
      </c>
      <c r="L468" s="29" t="str">
        <f t="shared" si="22"/>
        <v>FB_auto</v>
      </c>
    </row>
    <row r="469" spans="1:12" s="27" customFormat="1" hidden="1" x14ac:dyDescent="0.25">
      <c r="A469" s="25">
        <v>442</v>
      </c>
      <c r="B469" s="26" t="s">
        <v>890</v>
      </c>
      <c r="C469" s="25" t="s">
        <v>891</v>
      </c>
      <c r="D469" s="25" t="s">
        <v>7</v>
      </c>
      <c r="E469" s="26" t="s">
        <v>1306</v>
      </c>
      <c r="G469" s="28"/>
      <c r="H469" s="27" t="s">
        <v>1505</v>
      </c>
      <c r="K469" s="29" t="str">
        <f t="shared" si="21"/>
        <v>Pump9</v>
      </c>
      <c r="L469" s="29" t="str">
        <f t="shared" si="22"/>
        <v>FB_Run</v>
      </c>
    </row>
    <row r="470" spans="1:12" s="27" customFormat="1" hidden="1" x14ac:dyDescent="0.25">
      <c r="A470" s="25">
        <v>443</v>
      </c>
      <c r="B470" s="26" t="s">
        <v>892</v>
      </c>
      <c r="C470" s="25" t="s">
        <v>893</v>
      </c>
      <c r="D470" s="25" t="s">
        <v>7</v>
      </c>
      <c r="E470" s="26" t="s">
        <v>1307</v>
      </c>
      <c r="G470" s="28"/>
      <c r="K470" s="29" t="str">
        <f t="shared" si="21"/>
        <v>Pump9</v>
      </c>
      <c r="L470" s="29" t="str">
        <f t="shared" si="22"/>
        <v>FB_Fault_V</v>
      </c>
    </row>
    <row r="471" spans="1:12" s="27" customFormat="1" hidden="1" x14ac:dyDescent="0.25">
      <c r="A471" s="25">
        <v>444</v>
      </c>
      <c r="B471" s="26" t="s">
        <v>894</v>
      </c>
      <c r="C471" s="25" t="s">
        <v>895</v>
      </c>
      <c r="D471" s="25" t="s">
        <v>7</v>
      </c>
      <c r="E471" s="26" t="s">
        <v>1307</v>
      </c>
      <c r="G471" s="28"/>
      <c r="K471" s="29" t="str">
        <f t="shared" si="21"/>
        <v>Pump9</v>
      </c>
      <c r="L471" s="29" t="str">
        <f t="shared" si="22"/>
        <v>FB_Fault_SS</v>
      </c>
    </row>
    <row r="472" spans="1:12" s="27" customFormat="1" hidden="1" x14ac:dyDescent="0.25">
      <c r="A472" s="25">
        <v>445</v>
      </c>
      <c r="B472" s="26" t="s">
        <v>896</v>
      </c>
      <c r="C472" s="25" t="s">
        <v>897</v>
      </c>
      <c r="D472" s="25" t="s">
        <v>7</v>
      </c>
      <c r="E472" s="26" t="s">
        <v>1356</v>
      </c>
      <c r="G472" s="28"/>
      <c r="K472" s="29" t="str">
        <f t="shared" si="21"/>
        <v>Pump9</v>
      </c>
      <c r="L472" s="29" t="str">
        <f t="shared" si="22"/>
        <v>FB_Fault_Temp</v>
      </c>
    </row>
    <row r="473" spans="1:12" s="27" customFormat="1" hidden="1" x14ac:dyDescent="0.25">
      <c r="A473" s="25">
        <v>446</v>
      </c>
      <c r="B473" s="26" t="s">
        <v>898</v>
      </c>
      <c r="C473" s="25" t="s">
        <v>899</v>
      </c>
      <c r="D473" s="25" t="s">
        <v>7</v>
      </c>
      <c r="E473" s="26" t="s">
        <v>1307</v>
      </c>
      <c r="G473" s="28"/>
      <c r="K473" s="29" t="str">
        <f t="shared" si="21"/>
        <v>Pump9</v>
      </c>
      <c r="L473" s="29" t="str">
        <f t="shared" si="22"/>
        <v>FB_Fault_Curent</v>
      </c>
    </row>
    <row r="474" spans="1:12" s="27" customFormat="1" hidden="1" x14ac:dyDescent="0.25">
      <c r="A474" s="25">
        <v>447</v>
      </c>
      <c r="B474" s="26" t="s">
        <v>900</v>
      </c>
      <c r="C474" s="25" t="s">
        <v>901</v>
      </c>
      <c r="D474" s="25" t="s">
        <v>7</v>
      </c>
      <c r="E474" s="26" t="s">
        <v>1357</v>
      </c>
      <c r="G474" s="28"/>
      <c r="K474" s="29" t="str">
        <f t="shared" si="21"/>
        <v>Pump9</v>
      </c>
      <c r="L474" s="29" t="str">
        <f t="shared" si="22"/>
        <v>Clock_1m</v>
      </c>
    </row>
    <row r="475" spans="1:12" s="30" customFormat="1" x14ac:dyDescent="0.25">
      <c r="A475" s="23">
        <v>448</v>
      </c>
      <c r="B475" s="24" t="s">
        <v>1551</v>
      </c>
      <c r="C475" s="23" t="s">
        <v>903</v>
      </c>
      <c r="D475" s="23" t="s">
        <v>7</v>
      </c>
      <c r="E475" s="24" t="s">
        <v>1358</v>
      </c>
      <c r="G475" s="28"/>
      <c r="H475" s="17" t="s">
        <v>1524</v>
      </c>
      <c r="K475" s="31" t="str">
        <f t="shared" si="21"/>
        <v>Pump9</v>
      </c>
      <c r="L475" s="31" t="str">
        <f t="shared" si="22"/>
        <v>FB_ON_MCCB</v>
      </c>
    </row>
    <row r="476" spans="1:12" s="30" customFormat="1" hidden="1" x14ac:dyDescent="0.25">
      <c r="A476" s="23">
        <v>8</v>
      </c>
      <c r="B476" s="32" t="s">
        <v>1552</v>
      </c>
      <c r="C476" s="23" t="s">
        <v>1539</v>
      </c>
      <c r="D476" s="23" t="s">
        <v>7</v>
      </c>
      <c r="E476" s="24" t="s">
        <v>1393</v>
      </c>
      <c r="G476" s="28"/>
      <c r="H476" s="30" t="s">
        <v>1495</v>
      </c>
      <c r="K476" s="31" t="str">
        <f t="shared" si="21"/>
        <v>Pump9</v>
      </c>
      <c r="L476" s="31" t="str">
        <f t="shared" si="22"/>
        <v>FB_Stop</v>
      </c>
    </row>
    <row r="477" spans="1:12" s="27" customFormat="1" hidden="1" x14ac:dyDescent="0.25">
      <c r="A477" s="25">
        <v>449</v>
      </c>
      <c r="B477" s="26" t="s">
        <v>904</v>
      </c>
      <c r="C477" s="25" t="s">
        <v>905</v>
      </c>
      <c r="D477" s="25" t="s">
        <v>24</v>
      </c>
      <c r="E477" s="26" t="s">
        <v>1352</v>
      </c>
      <c r="G477" s="28"/>
      <c r="H477" s="27" t="s">
        <v>1514</v>
      </c>
      <c r="K477" s="29" t="str">
        <f t="shared" si="21"/>
        <v>Pump9</v>
      </c>
      <c r="L477" s="29" t="str">
        <f t="shared" si="22"/>
        <v>FB_Temp_DEBearing</v>
      </c>
    </row>
    <row r="478" spans="1:12" s="27" customFormat="1" hidden="1" x14ac:dyDescent="0.25">
      <c r="A478" s="25">
        <v>450</v>
      </c>
      <c r="B478" s="26" t="s">
        <v>906</v>
      </c>
      <c r="C478" s="25" t="s">
        <v>907</v>
      </c>
      <c r="D478" s="25" t="s">
        <v>24</v>
      </c>
      <c r="E478" s="26" t="s">
        <v>1353</v>
      </c>
      <c r="G478" s="28"/>
      <c r="H478" s="27" t="s">
        <v>1515</v>
      </c>
      <c r="K478" s="29" t="str">
        <f t="shared" ref="K478:K544" si="23">LEFT(B478, SEARCH("_",B478 ) - 1)</f>
        <v>Pump9</v>
      </c>
      <c r="L478" s="29" t="str">
        <f t="shared" si="22"/>
        <v>FB_Temp_NDEBearing</v>
      </c>
    </row>
    <row r="479" spans="1:12" s="27" customFormat="1" hidden="1" x14ac:dyDescent="0.25">
      <c r="A479" s="25">
        <v>451</v>
      </c>
      <c r="B479" s="26" t="s">
        <v>908</v>
      </c>
      <c r="C479" s="25" t="s">
        <v>909</v>
      </c>
      <c r="D479" s="25" t="s">
        <v>24</v>
      </c>
      <c r="E479" s="26" t="s">
        <v>1308</v>
      </c>
      <c r="G479" s="28"/>
      <c r="H479" s="27" t="s">
        <v>1511</v>
      </c>
      <c r="K479" s="29" t="str">
        <f t="shared" si="23"/>
        <v>Pump9</v>
      </c>
      <c r="L479" s="29" t="str">
        <f t="shared" si="22"/>
        <v>FB_Temp_PhaseA</v>
      </c>
    </row>
    <row r="480" spans="1:12" s="27" customFormat="1" hidden="1" x14ac:dyDescent="0.25">
      <c r="A480" s="25">
        <v>452</v>
      </c>
      <c r="B480" s="26" t="s">
        <v>910</v>
      </c>
      <c r="C480" s="25" t="s">
        <v>911</v>
      </c>
      <c r="D480" s="25" t="s">
        <v>24</v>
      </c>
      <c r="E480" s="26" t="s">
        <v>1309</v>
      </c>
      <c r="G480" s="28"/>
      <c r="H480" s="27" t="s">
        <v>1512</v>
      </c>
      <c r="K480" s="29" t="str">
        <f t="shared" si="23"/>
        <v>Pump9</v>
      </c>
      <c r="L480" s="29" t="str">
        <f t="shared" si="22"/>
        <v>FB_Temp_PhaseB</v>
      </c>
    </row>
    <row r="481" spans="1:12" s="27" customFormat="1" hidden="1" x14ac:dyDescent="0.25">
      <c r="A481" s="25">
        <v>453</v>
      </c>
      <c r="B481" s="26" t="s">
        <v>912</v>
      </c>
      <c r="C481" s="25" t="s">
        <v>913</v>
      </c>
      <c r="D481" s="25" t="s">
        <v>24</v>
      </c>
      <c r="E481" s="26" t="s">
        <v>1310</v>
      </c>
      <c r="G481" s="28"/>
      <c r="H481" s="27" t="s">
        <v>1513</v>
      </c>
      <c r="K481" s="29" t="str">
        <f t="shared" si="23"/>
        <v>Pump9</v>
      </c>
      <c r="L481" s="29" t="str">
        <f t="shared" si="22"/>
        <v>FB_Temp_PhaseC</v>
      </c>
    </row>
    <row r="482" spans="1:12" s="27" customFormat="1" hidden="1" x14ac:dyDescent="0.25">
      <c r="A482" s="25">
        <v>454</v>
      </c>
      <c r="B482" s="26" t="s">
        <v>914</v>
      </c>
      <c r="C482" s="25" t="s">
        <v>915</v>
      </c>
      <c r="D482" s="25" t="s">
        <v>35</v>
      </c>
      <c r="E482" s="26" t="s">
        <v>1315</v>
      </c>
      <c r="G482" s="28"/>
      <c r="K482" s="29" t="str">
        <f t="shared" si="23"/>
        <v>Meter9</v>
      </c>
      <c r="L482" s="29" t="str">
        <f t="shared" si="22"/>
        <v>U1</v>
      </c>
    </row>
    <row r="483" spans="1:12" s="27" customFormat="1" hidden="1" x14ac:dyDescent="0.25">
      <c r="A483" s="25">
        <v>455</v>
      </c>
      <c r="B483" s="26" t="s">
        <v>916</v>
      </c>
      <c r="C483" s="25" t="s">
        <v>917</v>
      </c>
      <c r="D483" s="25" t="s">
        <v>35</v>
      </c>
      <c r="E483" s="26" t="s">
        <v>1316</v>
      </c>
      <c r="G483" s="28"/>
      <c r="K483" s="29" t="str">
        <f t="shared" si="23"/>
        <v>Meter9</v>
      </c>
      <c r="L483" s="29" t="str">
        <f t="shared" ref="L483:L549" si="24">RIGHT(B483, LEN(B483)-SEARCH("_",B483 ))</f>
        <v>U2</v>
      </c>
    </row>
    <row r="484" spans="1:12" s="27" customFormat="1" hidden="1" x14ac:dyDescent="0.25">
      <c r="A484" s="25">
        <v>456</v>
      </c>
      <c r="B484" s="26" t="s">
        <v>918</v>
      </c>
      <c r="C484" s="25" t="s">
        <v>919</v>
      </c>
      <c r="D484" s="25" t="s">
        <v>35</v>
      </c>
      <c r="E484" s="26" t="s">
        <v>1317</v>
      </c>
      <c r="G484" s="28"/>
      <c r="K484" s="29" t="str">
        <f t="shared" si="23"/>
        <v>Meter9</v>
      </c>
      <c r="L484" s="29" t="str">
        <f t="shared" si="24"/>
        <v>U3</v>
      </c>
    </row>
    <row r="485" spans="1:12" s="27" customFormat="1" hidden="1" x14ac:dyDescent="0.25">
      <c r="A485" s="25">
        <v>457</v>
      </c>
      <c r="B485" s="26" t="s">
        <v>920</v>
      </c>
      <c r="C485" s="25" t="s">
        <v>921</v>
      </c>
      <c r="D485" s="25" t="s">
        <v>35</v>
      </c>
      <c r="E485" s="26" t="s">
        <v>1318</v>
      </c>
      <c r="G485" s="28"/>
      <c r="K485" s="29" t="str">
        <f t="shared" si="23"/>
        <v>Meter9</v>
      </c>
      <c r="L485" s="29" t="str">
        <f t="shared" si="24"/>
        <v>U_Ph</v>
      </c>
    </row>
    <row r="486" spans="1:12" s="27" customFormat="1" hidden="1" x14ac:dyDescent="0.25">
      <c r="A486" s="25">
        <v>458</v>
      </c>
      <c r="B486" s="26" t="s">
        <v>922</v>
      </c>
      <c r="C486" s="25" t="s">
        <v>923</v>
      </c>
      <c r="D486" s="25" t="s">
        <v>35</v>
      </c>
      <c r="E486" s="26" t="s">
        <v>1319</v>
      </c>
      <c r="G486" s="28"/>
      <c r="H486" s="27" t="s">
        <v>1319</v>
      </c>
      <c r="K486" s="29" t="str">
        <f t="shared" si="23"/>
        <v>Meter9</v>
      </c>
      <c r="L486" s="29" t="str">
        <f t="shared" si="24"/>
        <v>U12</v>
      </c>
    </row>
    <row r="487" spans="1:12" s="27" customFormat="1" hidden="1" x14ac:dyDescent="0.25">
      <c r="A487" s="25">
        <v>459</v>
      </c>
      <c r="B487" s="26" t="s">
        <v>924</v>
      </c>
      <c r="C487" s="25" t="s">
        <v>925</v>
      </c>
      <c r="D487" s="25" t="s">
        <v>35</v>
      </c>
      <c r="E487" s="26" t="s">
        <v>1320</v>
      </c>
      <c r="G487" s="28"/>
      <c r="H487" s="27" t="s">
        <v>1320</v>
      </c>
      <c r="K487" s="29" t="str">
        <f t="shared" si="23"/>
        <v>Meter9</v>
      </c>
      <c r="L487" s="29" t="str">
        <f t="shared" si="24"/>
        <v>U23</v>
      </c>
    </row>
    <row r="488" spans="1:12" s="27" customFormat="1" hidden="1" x14ac:dyDescent="0.25">
      <c r="A488" s="25">
        <v>460</v>
      </c>
      <c r="B488" s="26" t="s">
        <v>926</v>
      </c>
      <c r="C488" s="25" t="s">
        <v>927</v>
      </c>
      <c r="D488" s="25" t="s">
        <v>35</v>
      </c>
      <c r="E488" s="26" t="s">
        <v>1321</v>
      </c>
      <c r="G488" s="28"/>
      <c r="H488" s="27" t="s">
        <v>1516</v>
      </c>
      <c r="K488" s="29" t="str">
        <f t="shared" si="23"/>
        <v>Meter9</v>
      </c>
      <c r="L488" s="29" t="str">
        <f t="shared" si="24"/>
        <v>U31</v>
      </c>
    </row>
    <row r="489" spans="1:12" s="27" customFormat="1" hidden="1" x14ac:dyDescent="0.25">
      <c r="A489" s="25">
        <v>461</v>
      </c>
      <c r="B489" s="26" t="s">
        <v>928</v>
      </c>
      <c r="C489" s="25" t="s">
        <v>929</v>
      </c>
      <c r="D489" s="25" t="s">
        <v>35</v>
      </c>
      <c r="E489" s="26" t="s">
        <v>1322</v>
      </c>
      <c r="G489" s="28"/>
      <c r="K489" s="29" t="str">
        <f t="shared" si="23"/>
        <v>Meter9</v>
      </c>
      <c r="L489" s="29" t="str">
        <f t="shared" si="24"/>
        <v>Uline</v>
      </c>
    </row>
    <row r="490" spans="1:12" s="27" customFormat="1" hidden="1" x14ac:dyDescent="0.25">
      <c r="A490" s="25">
        <v>462</v>
      </c>
      <c r="B490" s="26" t="s">
        <v>930</v>
      </c>
      <c r="C490" s="25" t="s">
        <v>931</v>
      </c>
      <c r="D490" s="25" t="s">
        <v>35</v>
      </c>
      <c r="E490" s="26" t="s">
        <v>1312</v>
      </c>
      <c r="G490" s="28"/>
      <c r="H490" s="29"/>
      <c r="K490" s="29" t="str">
        <f t="shared" si="23"/>
        <v>Meter9</v>
      </c>
      <c r="L490" s="29" t="str">
        <f t="shared" si="24"/>
        <v>I1</v>
      </c>
    </row>
    <row r="491" spans="1:12" s="27" customFormat="1" hidden="1" x14ac:dyDescent="0.25">
      <c r="A491" s="25">
        <v>463</v>
      </c>
      <c r="B491" s="26" t="s">
        <v>932</v>
      </c>
      <c r="C491" s="25" t="s">
        <v>933</v>
      </c>
      <c r="D491" s="25" t="s">
        <v>35</v>
      </c>
      <c r="E491" s="26" t="s">
        <v>1313</v>
      </c>
      <c r="G491" s="28"/>
      <c r="H491" s="29"/>
      <c r="K491" s="29" t="str">
        <f t="shared" si="23"/>
        <v>Meter9</v>
      </c>
      <c r="L491" s="29" t="str">
        <f t="shared" si="24"/>
        <v>I2</v>
      </c>
    </row>
    <row r="492" spans="1:12" s="27" customFormat="1" hidden="1" x14ac:dyDescent="0.25">
      <c r="A492" s="25">
        <v>464</v>
      </c>
      <c r="B492" s="26" t="s">
        <v>934</v>
      </c>
      <c r="C492" s="25" t="s">
        <v>935</v>
      </c>
      <c r="D492" s="25" t="s">
        <v>35</v>
      </c>
      <c r="E492" s="26" t="s">
        <v>1314</v>
      </c>
      <c r="G492" s="28"/>
      <c r="H492" s="29"/>
      <c r="K492" s="29" t="str">
        <f t="shared" si="23"/>
        <v>Meter9</v>
      </c>
      <c r="L492" s="29" t="str">
        <f t="shared" si="24"/>
        <v>I3</v>
      </c>
    </row>
    <row r="493" spans="1:12" s="27" customFormat="1" hidden="1" x14ac:dyDescent="0.25">
      <c r="A493" s="25">
        <v>465</v>
      </c>
      <c r="B493" s="26" t="s">
        <v>936</v>
      </c>
      <c r="C493" s="25" t="s">
        <v>937</v>
      </c>
      <c r="D493" s="25" t="s">
        <v>35</v>
      </c>
      <c r="E493" s="26" t="s">
        <v>1311</v>
      </c>
      <c r="G493" s="28"/>
      <c r="H493" s="26" t="s">
        <v>1311</v>
      </c>
      <c r="K493" s="29" t="str">
        <f t="shared" si="23"/>
        <v>Meter9</v>
      </c>
      <c r="L493" s="29" t="str">
        <f t="shared" si="24"/>
        <v>I_ph</v>
      </c>
    </row>
    <row r="494" spans="1:12" s="27" customFormat="1" hidden="1" x14ac:dyDescent="0.25">
      <c r="A494" s="25">
        <v>466</v>
      </c>
      <c r="B494" s="26" t="s">
        <v>938</v>
      </c>
      <c r="C494" s="25" t="s">
        <v>939</v>
      </c>
      <c r="D494" s="25" t="s">
        <v>35</v>
      </c>
      <c r="E494" s="26" t="s">
        <v>1323</v>
      </c>
      <c r="G494" s="28"/>
      <c r="K494" s="29" t="str">
        <f t="shared" si="23"/>
        <v>Meter9</v>
      </c>
      <c r="L494" s="29" t="str">
        <f t="shared" si="24"/>
        <v>kw1</v>
      </c>
    </row>
    <row r="495" spans="1:12" s="27" customFormat="1" hidden="1" x14ac:dyDescent="0.25">
      <c r="A495" s="25">
        <v>467</v>
      </c>
      <c r="B495" s="26" t="s">
        <v>940</v>
      </c>
      <c r="C495" s="25" t="s">
        <v>941</v>
      </c>
      <c r="D495" s="25" t="s">
        <v>35</v>
      </c>
      <c r="E495" s="26" t="s">
        <v>1324</v>
      </c>
      <c r="G495" s="28"/>
      <c r="K495" s="29" t="str">
        <f t="shared" si="23"/>
        <v>Meter9</v>
      </c>
      <c r="L495" s="29" t="str">
        <f t="shared" si="24"/>
        <v>kw2</v>
      </c>
    </row>
    <row r="496" spans="1:12" s="27" customFormat="1" hidden="1" x14ac:dyDescent="0.25">
      <c r="A496" s="25">
        <v>468</v>
      </c>
      <c r="B496" s="26" t="s">
        <v>942</v>
      </c>
      <c r="C496" s="25" t="s">
        <v>943</v>
      </c>
      <c r="D496" s="25" t="s">
        <v>35</v>
      </c>
      <c r="E496" s="26" t="s">
        <v>1325</v>
      </c>
      <c r="G496" s="28"/>
      <c r="K496" s="29" t="str">
        <f t="shared" si="23"/>
        <v>Meter9</v>
      </c>
      <c r="L496" s="29" t="str">
        <f t="shared" si="24"/>
        <v>kw3</v>
      </c>
    </row>
    <row r="497" spans="1:12" s="27" customFormat="1" hidden="1" x14ac:dyDescent="0.25">
      <c r="A497" s="25">
        <v>469</v>
      </c>
      <c r="B497" s="26" t="s">
        <v>944</v>
      </c>
      <c r="C497" s="25" t="s">
        <v>945</v>
      </c>
      <c r="D497" s="25" t="s">
        <v>35</v>
      </c>
      <c r="E497" s="26" t="s">
        <v>1326</v>
      </c>
      <c r="G497" s="28"/>
      <c r="K497" s="29" t="str">
        <f t="shared" si="23"/>
        <v>Meter9</v>
      </c>
      <c r="L497" s="29" t="str">
        <f t="shared" si="24"/>
        <v>kva1</v>
      </c>
    </row>
    <row r="498" spans="1:12" s="27" customFormat="1" hidden="1" x14ac:dyDescent="0.25">
      <c r="A498" s="25">
        <v>470</v>
      </c>
      <c r="B498" s="26" t="s">
        <v>946</v>
      </c>
      <c r="C498" s="25" t="s">
        <v>947</v>
      </c>
      <c r="D498" s="25" t="s">
        <v>35</v>
      </c>
      <c r="E498" s="26" t="s">
        <v>1327</v>
      </c>
      <c r="G498" s="28"/>
      <c r="K498" s="29" t="str">
        <f t="shared" si="23"/>
        <v>Meter9</v>
      </c>
      <c r="L498" s="29" t="str">
        <f t="shared" si="24"/>
        <v>kva2</v>
      </c>
    </row>
    <row r="499" spans="1:12" s="27" customFormat="1" hidden="1" x14ac:dyDescent="0.25">
      <c r="A499" s="25">
        <v>471</v>
      </c>
      <c r="B499" s="26" t="s">
        <v>948</v>
      </c>
      <c r="C499" s="25" t="s">
        <v>949</v>
      </c>
      <c r="D499" s="25" t="s">
        <v>35</v>
      </c>
      <c r="E499" s="26" t="s">
        <v>1328</v>
      </c>
      <c r="G499" s="28"/>
      <c r="K499" s="29" t="str">
        <f t="shared" si="23"/>
        <v>Meter9</v>
      </c>
      <c r="L499" s="29" t="str">
        <f t="shared" si="24"/>
        <v>kva3</v>
      </c>
    </row>
    <row r="500" spans="1:12" s="27" customFormat="1" hidden="1" x14ac:dyDescent="0.25">
      <c r="A500" s="25">
        <v>472</v>
      </c>
      <c r="B500" s="26" t="s">
        <v>950</v>
      </c>
      <c r="C500" s="25" t="s">
        <v>951</v>
      </c>
      <c r="D500" s="25" t="s">
        <v>35</v>
      </c>
      <c r="E500" s="26" t="s">
        <v>1329</v>
      </c>
      <c r="G500" s="28"/>
      <c r="K500" s="29" t="str">
        <f t="shared" si="23"/>
        <v>Meter9</v>
      </c>
      <c r="L500" s="29" t="str">
        <f t="shared" si="24"/>
        <v>kvar1</v>
      </c>
    </row>
    <row r="501" spans="1:12" s="27" customFormat="1" hidden="1" x14ac:dyDescent="0.25">
      <c r="A501" s="25">
        <v>473</v>
      </c>
      <c r="B501" s="26" t="s">
        <v>952</v>
      </c>
      <c r="C501" s="25" t="s">
        <v>953</v>
      </c>
      <c r="D501" s="25" t="s">
        <v>35</v>
      </c>
      <c r="E501" s="26" t="s">
        <v>1330</v>
      </c>
      <c r="G501" s="28"/>
      <c r="K501" s="29" t="str">
        <f t="shared" si="23"/>
        <v>Meter9</v>
      </c>
      <c r="L501" s="29" t="str">
        <f t="shared" si="24"/>
        <v>kvar2</v>
      </c>
    </row>
    <row r="502" spans="1:12" s="27" customFormat="1" hidden="1" x14ac:dyDescent="0.25">
      <c r="A502" s="25">
        <v>474</v>
      </c>
      <c r="B502" s="26" t="s">
        <v>954</v>
      </c>
      <c r="C502" s="25" t="s">
        <v>955</v>
      </c>
      <c r="D502" s="25" t="s">
        <v>35</v>
      </c>
      <c r="E502" s="26" t="s">
        <v>1331</v>
      </c>
      <c r="G502" s="28"/>
      <c r="K502" s="29" t="str">
        <f t="shared" si="23"/>
        <v>Meter9</v>
      </c>
      <c r="L502" s="29" t="str">
        <f t="shared" si="24"/>
        <v>kvar3</v>
      </c>
    </row>
    <row r="503" spans="1:12" s="27" customFormat="1" hidden="1" x14ac:dyDescent="0.25">
      <c r="A503" s="25">
        <v>475</v>
      </c>
      <c r="B503" s="26" t="s">
        <v>956</v>
      </c>
      <c r="C503" s="25" t="s">
        <v>957</v>
      </c>
      <c r="D503" s="25" t="s">
        <v>35</v>
      </c>
      <c r="E503" s="26" t="s">
        <v>1332</v>
      </c>
      <c r="G503" s="28"/>
      <c r="H503" s="27" t="s">
        <v>1482</v>
      </c>
      <c r="K503" s="29" t="str">
        <f t="shared" si="23"/>
        <v>Meter9</v>
      </c>
      <c r="L503" s="29" t="str">
        <f t="shared" si="24"/>
        <v>total_kw</v>
      </c>
    </row>
    <row r="504" spans="1:12" s="27" customFormat="1" hidden="1" x14ac:dyDescent="0.25">
      <c r="A504" s="25">
        <v>476</v>
      </c>
      <c r="B504" s="26" t="s">
        <v>958</v>
      </c>
      <c r="C504" s="25" t="s">
        <v>959</v>
      </c>
      <c r="D504" s="25" t="s">
        <v>35</v>
      </c>
      <c r="E504" s="26" t="s">
        <v>1333</v>
      </c>
      <c r="G504" s="28"/>
      <c r="K504" s="29" t="str">
        <f t="shared" si="23"/>
        <v>Meter9</v>
      </c>
      <c r="L504" s="29" t="str">
        <f t="shared" si="24"/>
        <v>total_kva</v>
      </c>
    </row>
    <row r="505" spans="1:12" s="27" customFormat="1" hidden="1" x14ac:dyDescent="0.25">
      <c r="A505" s="25">
        <v>477</v>
      </c>
      <c r="B505" s="26" t="s">
        <v>960</v>
      </c>
      <c r="C505" s="25" t="s">
        <v>961</v>
      </c>
      <c r="D505" s="25" t="s">
        <v>35</v>
      </c>
      <c r="E505" s="26" t="s">
        <v>1334</v>
      </c>
      <c r="G505" s="28"/>
      <c r="K505" s="29" t="str">
        <f t="shared" si="23"/>
        <v>Meter9</v>
      </c>
      <c r="L505" s="29" t="str">
        <f t="shared" si="24"/>
        <v>total_kvar</v>
      </c>
    </row>
    <row r="506" spans="1:12" s="27" customFormat="1" hidden="1" x14ac:dyDescent="0.25">
      <c r="A506" s="25">
        <v>478</v>
      </c>
      <c r="B506" s="26" t="s">
        <v>962</v>
      </c>
      <c r="C506" s="25" t="s">
        <v>963</v>
      </c>
      <c r="D506" s="25" t="s">
        <v>35</v>
      </c>
      <c r="E506" s="26" t="s">
        <v>1335</v>
      </c>
      <c r="G506" s="28"/>
      <c r="K506" s="29" t="str">
        <f t="shared" si="23"/>
        <v>Meter9</v>
      </c>
      <c r="L506" s="29" t="str">
        <f t="shared" si="24"/>
        <v>PF1</v>
      </c>
    </row>
    <row r="507" spans="1:12" s="27" customFormat="1" hidden="1" x14ac:dyDescent="0.25">
      <c r="A507" s="25">
        <v>479</v>
      </c>
      <c r="B507" s="26" t="s">
        <v>964</v>
      </c>
      <c r="C507" s="25" t="s">
        <v>965</v>
      </c>
      <c r="D507" s="25" t="s">
        <v>35</v>
      </c>
      <c r="E507" s="26" t="s">
        <v>1336</v>
      </c>
      <c r="G507" s="28"/>
      <c r="K507" s="29" t="str">
        <f t="shared" si="23"/>
        <v>Meter9</v>
      </c>
      <c r="L507" s="29" t="str">
        <f t="shared" si="24"/>
        <v>PF2</v>
      </c>
    </row>
    <row r="508" spans="1:12" s="27" customFormat="1" hidden="1" x14ac:dyDescent="0.25">
      <c r="A508" s="25">
        <v>480</v>
      </c>
      <c r="B508" s="26" t="s">
        <v>966</v>
      </c>
      <c r="C508" s="25" t="s">
        <v>967</v>
      </c>
      <c r="D508" s="25" t="s">
        <v>35</v>
      </c>
      <c r="E508" s="26" t="s">
        <v>1337</v>
      </c>
      <c r="G508" s="28"/>
      <c r="K508" s="29" t="str">
        <f t="shared" si="23"/>
        <v>Meter9</v>
      </c>
      <c r="L508" s="29" t="str">
        <f t="shared" si="24"/>
        <v>PF3</v>
      </c>
    </row>
    <row r="509" spans="1:12" s="27" customFormat="1" hidden="1" x14ac:dyDescent="0.25">
      <c r="A509" s="25">
        <v>481</v>
      </c>
      <c r="B509" s="26" t="s">
        <v>968</v>
      </c>
      <c r="C509" s="25" t="s">
        <v>969</v>
      </c>
      <c r="D509" s="25" t="s">
        <v>35</v>
      </c>
      <c r="E509" s="26" t="s">
        <v>1338</v>
      </c>
      <c r="G509" s="28"/>
      <c r="H509" s="27" t="s">
        <v>1405</v>
      </c>
      <c r="K509" s="29" t="str">
        <f t="shared" si="23"/>
        <v>Meter9</v>
      </c>
      <c r="L509" s="29" t="str">
        <f t="shared" si="24"/>
        <v>PF</v>
      </c>
    </row>
    <row r="510" spans="1:12" s="27" customFormat="1" hidden="1" x14ac:dyDescent="0.25">
      <c r="A510" s="25">
        <v>482</v>
      </c>
      <c r="B510" s="26" t="s">
        <v>970</v>
      </c>
      <c r="C510" s="25" t="s">
        <v>971</v>
      </c>
      <c r="D510" s="25" t="s">
        <v>35</v>
      </c>
      <c r="E510" s="26" t="s">
        <v>1339</v>
      </c>
      <c r="G510" s="28"/>
      <c r="H510" s="27" t="s">
        <v>1339</v>
      </c>
      <c r="K510" s="29" t="str">
        <f t="shared" si="23"/>
        <v>Meter9</v>
      </c>
      <c r="L510" s="29" t="str">
        <f t="shared" si="24"/>
        <v>freq</v>
      </c>
    </row>
    <row r="511" spans="1:12" s="27" customFormat="1" hidden="1" x14ac:dyDescent="0.25">
      <c r="A511" s="25">
        <v>483</v>
      </c>
      <c r="B511" s="26" t="s">
        <v>972</v>
      </c>
      <c r="C511" s="25" t="s">
        <v>973</v>
      </c>
      <c r="D511" s="25" t="s">
        <v>35</v>
      </c>
      <c r="E511" s="26" t="s">
        <v>1340</v>
      </c>
      <c r="G511" s="28"/>
      <c r="H511" s="27" t="s">
        <v>1340</v>
      </c>
      <c r="K511" s="29" t="str">
        <f t="shared" si="23"/>
        <v>Meter9</v>
      </c>
      <c r="L511" s="29" t="str">
        <f t="shared" si="24"/>
        <v>kwh</v>
      </c>
    </row>
    <row r="512" spans="1:12" s="27" customFormat="1" hidden="1" x14ac:dyDescent="0.25">
      <c r="A512" s="25">
        <v>484</v>
      </c>
      <c r="B512" s="26" t="s">
        <v>974</v>
      </c>
      <c r="C512" s="25" t="s">
        <v>975</v>
      </c>
      <c r="D512" s="25" t="s">
        <v>35</v>
      </c>
      <c r="E512" s="26" t="s">
        <v>1341</v>
      </c>
      <c r="G512" s="28"/>
      <c r="K512" s="29" t="str">
        <f t="shared" si="23"/>
        <v>Meter9</v>
      </c>
      <c r="L512" s="29" t="str">
        <f t="shared" si="24"/>
        <v>kvah</v>
      </c>
    </row>
    <row r="513" spans="1:12" s="27" customFormat="1" hidden="1" x14ac:dyDescent="0.25">
      <c r="A513" s="25">
        <v>485</v>
      </c>
      <c r="B513" s="26" t="s">
        <v>976</v>
      </c>
      <c r="C513" s="25" t="s">
        <v>977</v>
      </c>
      <c r="D513" s="25" t="s">
        <v>35</v>
      </c>
      <c r="E513" s="26" t="s">
        <v>1342</v>
      </c>
      <c r="G513" s="28"/>
      <c r="K513" s="29" t="str">
        <f t="shared" si="23"/>
        <v>Meter9</v>
      </c>
      <c r="L513" s="29" t="str">
        <f t="shared" si="24"/>
        <v>kvarh</v>
      </c>
    </row>
    <row r="514" spans="1:12" s="27" customFormat="1" hidden="1" x14ac:dyDescent="0.25">
      <c r="A514" s="25">
        <v>486</v>
      </c>
      <c r="B514" s="26" t="s">
        <v>978</v>
      </c>
      <c r="C514" s="25" t="s">
        <v>979</v>
      </c>
      <c r="D514" s="25" t="s">
        <v>7</v>
      </c>
      <c r="E514" s="26" t="s">
        <v>1343</v>
      </c>
      <c r="G514" s="28"/>
      <c r="K514" s="29" t="str">
        <f t="shared" si="23"/>
        <v>Pump9</v>
      </c>
      <c r="L514" s="29" t="str">
        <f t="shared" si="24"/>
        <v>Ctrl_run_Pump</v>
      </c>
    </row>
    <row r="515" spans="1:12" s="27" customFormat="1" hidden="1" x14ac:dyDescent="0.25">
      <c r="A515" s="25">
        <v>487</v>
      </c>
      <c r="B515" s="26" t="s">
        <v>980</v>
      </c>
      <c r="C515" s="25" t="s">
        <v>981</v>
      </c>
      <c r="D515" s="25" t="s">
        <v>7</v>
      </c>
      <c r="E515" s="26" t="s">
        <v>1354</v>
      </c>
      <c r="G515" s="28"/>
      <c r="H515" s="27" t="s">
        <v>1496</v>
      </c>
      <c r="K515" s="29" t="str">
        <f t="shared" si="23"/>
        <v>Pump9</v>
      </c>
      <c r="L515" s="29" t="str">
        <f t="shared" si="24"/>
        <v>FB_Fault</v>
      </c>
    </row>
    <row r="516" spans="1:12" s="27" customFormat="1" hidden="1" x14ac:dyDescent="0.25">
      <c r="A516" s="25">
        <v>488</v>
      </c>
      <c r="B516" s="26" t="s">
        <v>982</v>
      </c>
      <c r="C516" s="25" t="s">
        <v>983</v>
      </c>
      <c r="D516" s="25" t="s">
        <v>7</v>
      </c>
      <c r="E516" s="26" t="s">
        <v>1344</v>
      </c>
      <c r="G516" s="28"/>
      <c r="K516" s="29" t="str">
        <f t="shared" si="23"/>
        <v>Pump9</v>
      </c>
      <c r="L516" s="29" t="str">
        <f t="shared" si="24"/>
        <v>Ctrl_PB_Run</v>
      </c>
    </row>
    <row r="517" spans="1:12" s="27" customFormat="1" hidden="1" x14ac:dyDescent="0.25">
      <c r="A517" s="25">
        <v>489</v>
      </c>
      <c r="B517" s="26" t="s">
        <v>984</v>
      </c>
      <c r="C517" s="25" t="s">
        <v>985</v>
      </c>
      <c r="D517" s="25" t="s">
        <v>7</v>
      </c>
      <c r="E517" s="26" t="s">
        <v>1345</v>
      </c>
      <c r="G517" s="28"/>
      <c r="K517" s="29" t="str">
        <f t="shared" si="23"/>
        <v>Pump9</v>
      </c>
      <c r="L517" s="29" t="str">
        <f t="shared" si="24"/>
        <v>Ctrl_PB_Stop</v>
      </c>
    </row>
    <row r="518" spans="1:12" s="27" customFormat="1" hidden="1" x14ac:dyDescent="0.25">
      <c r="A518" s="25">
        <v>490</v>
      </c>
      <c r="B518" s="26" t="s">
        <v>986</v>
      </c>
      <c r="C518" s="25" t="s">
        <v>987</v>
      </c>
      <c r="D518" s="25" t="s">
        <v>7</v>
      </c>
      <c r="E518" s="26" t="s">
        <v>1346</v>
      </c>
      <c r="G518" s="28"/>
      <c r="K518" s="29" t="str">
        <f t="shared" si="23"/>
        <v>Pump9</v>
      </c>
      <c r="L518" s="29" t="str">
        <f t="shared" si="24"/>
        <v>Ctrl_PB_RST</v>
      </c>
    </row>
    <row r="519" spans="1:12" s="30" customFormat="1" hidden="1" x14ac:dyDescent="0.25">
      <c r="A519" s="23">
        <v>50</v>
      </c>
      <c r="B519" s="24" t="s">
        <v>1580</v>
      </c>
      <c r="C519" s="23" t="s">
        <v>1594</v>
      </c>
      <c r="D519" s="23" t="s">
        <v>7</v>
      </c>
      <c r="E519" s="24" t="s">
        <v>1558</v>
      </c>
      <c r="G519" s="28"/>
      <c r="K519" s="31" t="str">
        <f t="shared" si="23"/>
        <v>Pump9</v>
      </c>
      <c r="L519" s="31" t="str">
        <f t="shared" si="24"/>
        <v>Ctrl_PB_Maintenance</v>
      </c>
    </row>
    <row r="520" spans="1:12" s="30" customFormat="1" hidden="1" x14ac:dyDescent="0.25">
      <c r="A520" s="23">
        <v>50</v>
      </c>
      <c r="B520" s="24" t="s">
        <v>1581</v>
      </c>
      <c r="C520" s="23" t="s">
        <v>1595</v>
      </c>
      <c r="D520" s="23" t="s">
        <v>7</v>
      </c>
      <c r="E520" s="24" t="s">
        <v>1559</v>
      </c>
      <c r="G520" s="28"/>
      <c r="H520" s="30" t="s">
        <v>1563</v>
      </c>
      <c r="K520" s="31" t="str">
        <f t="shared" si="23"/>
        <v>Pump9</v>
      </c>
      <c r="L520" s="31" t="str">
        <f t="shared" si="24"/>
        <v>FB_Maintenance</v>
      </c>
    </row>
    <row r="521" spans="1:12" s="27" customFormat="1" hidden="1" x14ac:dyDescent="0.25">
      <c r="A521" s="25">
        <v>491</v>
      </c>
      <c r="B521" s="26" t="s">
        <v>988</v>
      </c>
      <c r="C521" s="25" t="s">
        <v>989</v>
      </c>
      <c r="D521" s="25" t="s">
        <v>24</v>
      </c>
      <c r="E521" s="26" t="s">
        <v>1347</v>
      </c>
      <c r="G521" s="28"/>
      <c r="H521" s="27" t="s">
        <v>1518</v>
      </c>
      <c r="K521" s="29" t="str">
        <f t="shared" si="23"/>
        <v>Pump9</v>
      </c>
      <c r="L521" s="29" t="str">
        <f t="shared" si="24"/>
        <v>Time_Run_M</v>
      </c>
    </row>
    <row r="522" spans="1:12" s="27" customFormat="1" hidden="1" x14ac:dyDescent="0.25">
      <c r="A522" s="25">
        <v>492</v>
      </c>
      <c r="B522" s="26" t="s">
        <v>990</v>
      </c>
      <c r="C522" s="25" t="s">
        <v>991</v>
      </c>
      <c r="D522" s="25" t="s">
        <v>24</v>
      </c>
      <c r="E522" s="26" t="s">
        <v>1348</v>
      </c>
      <c r="G522" s="28"/>
      <c r="H522" s="27" t="s">
        <v>1518</v>
      </c>
      <c r="K522" s="29" t="str">
        <f t="shared" si="23"/>
        <v>Pump9</v>
      </c>
      <c r="L522" s="29" t="str">
        <f t="shared" si="24"/>
        <v>Time_Run_H</v>
      </c>
    </row>
    <row r="523" spans="1:12" s="27" customFormat="1" hidden="1" x14ac:dyDescent="0.25">
      <c r="A523" s="25">
        <v>493</v>
      </c>
      <c r="B523" s="26" t="s">
        <v>992</v>
      </c>
      <c r="C523" s="25" t="s">
        <v>993</v>
      </c>
      <c r="D523" s="25" t="s">
        <v>24</v>
      </c>
      <c r="E523" s="26" t="s">
        <v>1349</v>
      </c>
      <c r="G523" s="28"/>
      <c r="H523" s="27" t="s">
        <v>1517</v>
      </c>
      <c r="K523" s="29" t="str">
        <f t="shared" si="23"/>
        <v>Pump9</v>
      </c>
      <c r="L523" s="29" t="str">
        <f t="shared" si="24"/>
        <v>Total_Time_Run_M</v>
      </c>
    </row>
    <row r="524" spans="1:12" s="27" customFormat="1" hidden="1" x14ac:dyDescent="0.25">
      <c r="A524" s="25">
        <v>494</v>
      </c>
      <c r="B524" s="26" t="s">
        <v>994</v>
      </c>
      <c r="C524" s="25" t="s">
        <v>995</v>
      </c>
      <c r="D524" s="25" t="s">
        <v>24</v>
      </c>
      <c r="E524" s="26" t="s">
        <v>1350</v>
      </c>
      <c r="G524" s="28"/>
      <c r="H524" s="27" t="s">
        <v>1517</v>
      </c>
      <c r="K524" s="29" t="str">
        <f t="shared" si="23"/>
        <v>Pump9</v>
      </c>
      <c r="L524" s="29" t="str">
        <f t="shared" si="24"/>
        <v>Total_Time_Run_H</v>
      </c>
    </row>
    <row r="525" spans="1:12" s="27" customFormat="1" hidden="1" x14ac:dyDescent="0.25">
      <c r="A525" s="25">
        <v>495</v>
      </c>
      <c r="B525" s="26" t="s">
        <v>996</v>
      </c>
      <c r="C525" s="25" t="s">
        <v>997</v>
      </c>
      <c r="D525" s="25" t="s">
        <v>24</v>
      </c>
      <c r="E525" s="26" t="s">
        <v>1351</v>
      </c>
      <c r="G525" s="28"/>
      <c r="K525" s="29" t="str">
        <f t="shared" si="23"/>
        <v>Pump9</v>
      </c>
      <c r="L525" s="29" t="str">
        <f t="shared" si="24"/>
        <v>NumberOfclose</v>
      </c>
    </row>
    <row r="526" spans="1:12" s="27" customFormat="1" hidden="1" x14ac:dyDescent="0.25">
      <c r="A526" s="25">
        <v>496</v>
      </c>
      <c r="B526" s="26" t="s">
        <v>998</v>
      </c>
      <c r="C526" s="25" t="s">
        <v>999</v>
      </c>
      <c r="D526" s="25" t="s">
        <v>7</v>
      </c>
      <c r="E526" s="26" t="s">
        <v>1355</v>
      </c>
      <c r="G526" s="28" t="s">
        <v>1504</v>
      </c>
      <c r="K526" s="29" t="str">
        <f t="shared" si="23"/>
        <v>Pump10</v>
      </c>
      <c r="L526" s="29" t="str">
        <f t="shared" si="24"/>
        <v>FB_auto</v>
      </c>
    </row>
    <row r="527" spans="1:12" s="27" customFormat="1" hidden="1" x14ac:dyDescent="0.25">
      <c r="A527" s="25">
        <v>497</v>
      </c>
      <c r="B527" s="26" t="s">
        <v>1000</v>
      </c>
      <c r="C527" s="25" t="s">
        <v>1001</v>
      </c>
      <c r="D527" s="25" t="s">
        <v>7</v>
      </c>
      <c r="E527" s="26" t="s">
        <v>1306</v>
      </c>
      <c r="G527" s="28"/>
      <c r="H527" s="27" t="s">
        <v>1505</v>
      </c>
      <c r="K527" s="29" t="str">
        <f t="shared" si="23"/>
        <v>Pump10</v>
      </c>
      <c r="L527" s="29" t="str">
        <f t="shared" si="24"/>
        <v>FB_Run</v>
      </c>
    </row>
    <row r="528" spans="1:12" s="27" customFormat="1" hidden="1" x14ac:dyDescent="0.25">
      <c r="A528" s="25">
        <v>498</v>
      </c>
      <c r="B528" s="26" t="s">
        <v>1002</v>
      </c>
      <c r="C528" s="25" t="s">
        <v>1003</v>
      </c>
      <c r="D528" s="25" t="s">
        <v>7</v>
      </c>
      <c r="E528" s="26" t="s">
        <v>1307</v>
      </c>
      <c r="G528" s="28"/>
      <c r="K528" s="29" t="str">
        <f t="shared" si="23"/>
        <v>Pump10</v>
      </c>
      <c r="L528" s="29" t="str">
        <f t="shared" si="24"/>
        <v>FB_Fault_V</v>
      </c>
    </row>
    <row r="529" spans="1:12" s="27" customFormat="1" hidden="1" x14ac:dyDescent="0.25">
      <c r="A529" s="25">
        <v>499</v>
      </c>
      <c r="B529" s="26" t="s">
        <v>1004</v>
      </c>
      <c r="C529" s="25" t="s">
        <v>1005</v>
      </c>
      <c r="D529" s="25" t="s">
        <v>7</v>
      </c>
      <c r="E529" s="26" t="s">
        <v>1307</v>
      </c>
      <c r="G529" s="28"/>
      <c r="K529" s="29" t="str">
        <f t="shared" si="23"/>
        <v>Pump10</v>
      </c>
      <c r="L529" s="29" t="str">
        <f t="shared" si="24"/>
        <v>FB_Fault_SS</v>
      </c>
    </row>
    <row r="530" spans="1:12" s="27" customFormat="1" hidden="1" x14ac:dyDescent="0.25">
      <c r="A530" s="25">
        <v>500</v>
      </c>
      <c r="B530" s="26" t="s">
        <v>1006</v>
      </c>
      <c r="C530" s="25" t="s">
        <v>1007</v>
      </c>
      <c r="D530" s="25" t="s">
        <v>7</v>
      </c>
      <c r="E530" s="26" t="s">
        <v>1356</v>
      </c>
      <c r="G530" s="28"/>
      <c r="K530" s="29" t="str">
        <f t="shared" si="23"/>
        <v>Pump10</v>
      </c>
      <c r="L530" s="29" t="str">
        <f t="shared" si="24"/>
        <v>FB_Fault_Temp</v>
      </c>
    </row>
    <row r="531" spans="1:12" s="27" customFormat="1" hidden="1" x14ac:dyDescent="0.25">
      <c r="A531" s="25">
        <v>501</v>
      </c>
      <c r="B531" s="26" t="s">
        <v>1008</v>
      </c>
      <c r="C531" s="25" t="s">
        <v>1009</v>
      </c>
      <c r="D531" s="25" t="s">
        <v>7</v>
      </c>
      <c r="E531" s="26" t="s">
        <v>1307</v>
      </c>
      <c r="G531" s="28"/>
      <c r="K531" s="29" t="str">
        <f t="shared" si="23"/>
        <v>Pump10</v>
      </c>
      <c r="L531" s="29" t="str">
        <f t="shared" si="24"/>
        <v>FB_Fault_Curent</v>
      </c>
    </row>
    <row r="532" spans="1:12" s="27" customFormat="1" hidden="1" x14ac:dyDescent="0.25">
      <c r="A532" s="25">
        <v>502</v>
      </c>
      <c r="B532" s="26" t="s">
        <v>1010</v>
      </c>
      <c r="C532" s="25" t="s">
        <v>1011</v>
      </c>
      <c r="D532" s="25" t="s">
        <v>7</v>
      </c>
      <c r="E532" s="26" t="s">
        <v>1357</v>
      </c>
      <c r="G532" s="28"/>
      <c r="K532" s="29" t="str">
        <f t="shared" si="23"/>
        <v>Pump10</v>
      </c>
      <c r="L532" s="29" t="str">
        <f t="shared" si="24"/>
        <v>Clock_1m</v>
      </c>
    </row>
    <row r="533" spans="1:12" s="30" customFormat="1" x14ac:dyDescent="0.25">
      <c r="A533" s="23">
        <v>503</v>
      </c>
      <c r="B533" s="24" t="s">
        <v>1553</v>
      </c>
      <c r="C533" s="23" t="s">
        <v>1013</v>
      </c>
      <c r="D533" s="23" t="s">
        <v>7</v>
      </c>
      <c r="E533" s="24" t="s">
        <v>1358</v>
      </c>
      <c r="G533" s="28"/>
      <c r="H533" s="17" t="s">
        <v>1524</v>
      </c>
      <c r="K533" s="31" t="str">
        <f t="shared" si="23"/>
        <v>Pump10</v>
      </c>
      <c r="L533" s="31" t="str">
        <f t="shared" si="24"/>
        <v>FB_ON_MCCB</v>
      </c>
    </row>
    <row r="534" spans="1:12" s="30" customFormat="1" hidden="1" x14ac:dyDescent="0.25">
      <c r="A534" s="23">
        <v>8</v>
      </c>
      <c r="B534" s="32" t="s">
        <v>1554</v>
      </c>
      <c r="C534" s="23" t="s">
        <v>1540</v>
      </c>
      <c r="D534" s="23" t="s">
        <v>7</v>
      </c>
      <c r="E534" s="24" t="s">
        <v>1393</v>
      </c>
      <c r="G534" s="28"/>
      <c r="H534" s="30" t="s">
        <v>1495</v>
      </c>
      <c r="K534" s="31" t="str">
        <f t="shared" si="23"/>
        <v>Pump10</v>
      </c>
      <c r="L534" s="31" t="str">
        <f t="shared" si="24"/>
        <v>FB_Stop</v>
      </c>
    </row>
    <row r="535" spans="1:12" s="27" customFormat="1" hidden="1" x14ac:dyDescent="0.25">
      <c r="A535" s="25">
        <v>504</v>
      </c>
      <c r="B535" s="26" t="s">
        <v>1014</v>
      </c>
      <c r="C535" s="25" t="s">
        <v>1015</v>
      </c>
      <c r="D535" s="25" t="s">
        <v>24</v>
      </c>
      <c r="E535" s="26" t="s">
        <v>1352</v>
      </c>
      <c r="G535" s="28"/>
      <c r="H535" s="27" t="s">
        <v>1514</v>
      </c>
      <c r="K535" s="29" t="str">
        <f t="shared" si="23"/>
        <v>Pump10</v>
      </c>
      <c r="L535" s="29" t="str">
        <f t="shared" si="24"/>
        <v>FB_Temp_DEBearing</v>
      </c>
    </row>
    <row r="536" spans="1:12" s="27" customFormat="1" hidden="1" x14ac:dyDescent="0.25">
      <c r="A536" s="25">
        <v>505</v>
      </c>
      <c r="B536" s="26" t="s">
        <v>1016</v>
      </c>
      <c r="C536" s="25" t="s">
        <v>1017</v>
      </c>
      <c r="D536" s="25" t="s">
        <v>24</v>
      </c>
      <c r="E536" s="26" t="s">
        <v>1353</v>
      </c>
      <c r="G536" s="28"/>
      <c r="H536" s="27" t="s">
        <v>1515</v>
      </c>
      <c r="K536" s="29" t="str">
        <f t="shared" si="23"/>
        <v>Pump10</v>
      </c>
      <c r="L536" s="29" t="str">
        <f t="shared" si="24"/>
        <v>FB_Temp_NDEBearing</v>
      </c>
    </row>
    <row r="537" spans="1:12" s="27" customFormat="1" hidden="1" x14ac:dyDescent="0.25">
      <c r="A537" s="25">
        <v>506</v>
      </c>
      <c r="B537" s="26" t="s">
        <v>1018</v>
      </c>
      <c r="C537" s="25" t="s">
        <v>1019</v>
      </c>
      <c r="D537" s="25" t="s">
        <v>24</v>
      </c>
      <c r="E537" s="26" t="s">
        <v>1308</v>
      </c>
      <c r="G537" s="28"/>
      <c r="H537" s="27" t="s">
        <v>1511</v>
      </c>
      <c r="K537" s="29" t="str">
        <f t="shared" si="23"/>
        <v>Pump10</v>
      </c>
      <c r="L537" s="29" t="str">
        <f t="shared" si="24"/>
        <v>FB_Temp_PhaseA</v>
      </c>
    </row>
    <row r="538" spans="1:12" s="27" customFormat="1" hidden="1" x14ac:dyDescent="0.25">
      <c r="A538" s="25">
        <v>507</v>
      </c>
      <c r="B538" s="26" t="s">
        <v>1020</v>
      </c>
      <c r="C538" s="25" t="s">
        <v>1021</v>
      </c>
      <c r="D538" s="25" t="s">
        <v>24</v>
      </c>
      <c r="E538" s="26" t="s">
        <v>1309</v>
      </c>
      <c r="G538" s="28"/>
      <c r="H538" s="27" t="s">
        <v>1512</v>
      </c>
      <c r="K538" s="29" t="str">
        <f t="shared" si="23"/>
        <v>Pump10</v>
      </c>
      <c r="L538" s="29" t="str">
        <f t="shared" si="24"/>
        <v>FB_Temp_PhaseB</v>
      </c>
    </row>
    <row r="539" spans="1:12" s="27" customFormat="1" hidden="1" x14ac:dyDescent="0.25">
      <c r="A539" s="25">
        <v>508</v>
      </c>
      <c r="B539" s="26" t="s">
        <v>1022</v>
      </c>
      <c r="C539" s="25" t="s">
        <v>1023</v>
      </c>
      <c r="D539" s="25" t="s">
        <v>24</v>
      </c>
      <c r="E539" s="26" t="s">
        <v>1310</v>
      </c>
      <c r="G539" s="28"/>
      <c r="H539" s="27" t="s">
        <v>1513</v>
      </c>
      <c r="K539" s="29" t="str">
        <f t="shared" si="23"/>
        <v>Pump10</v>
      </c>
      <c r="L539" s="29" t="str">
        <f t="shared" si="24"/>
        <v>FB_Temp_PhaseC</v>
      </c>
    </row>
    <row r="540" spans="1:12" s="27" customFormat="1" hidden="1" x14ac:dyDescent="0.25">
      <c r="A540" s="25">
        <v>509</v>
      </c>
      <c r="B540" s="26" t="s">
        <v>1024</v>
      </c>
      <c r="C540" s="25" t="s">
        <v>1025</v>
      </c>
      <c r="D540" s="25" t="s">
        <v>35</v>
      </c>
      <c r="E540" s="26" t="s">
        <v>1315</v>
      </c>
      <c r="G540" s="28"/>
      <c r="K540" s="29" t="str">
        <f t="shared" si="23"/>
        <v>Meter10</v>
      </c>
      <c r="L540" s="29" t="str">
        <f t="shared" si="24"/>
        <v>U1</v>
      </c>
    </row>
    <row r="541" spans="1:12" s="27" customFormat="1" hidden="1" x14ac:dyDescent="0.25">
      <c r="A541" s="25">
        <v>510</v>
      </c>
      <c r="B541" s="26" t="s">
        <v>1026</v>
      </c>
      <c r="C541" s="25" t="s">
        <v>1027</v>
      </c>
      <c r="D541" s="25" t="s">
        <v>35</v>
      </c>
      <c r="E541" s="26" t="s">
        <v>1316</v>
      </c>
      <c r="G541" s="28"/>
      <c r="K541" s="29" t="str">
        <f t="shared" si="23"/>
        <v>Meter10</v>
      </c>
      <c r="L541" s="29" t="str">
        <f t="shared" si="24"/>
        <v>U2</v>
      </c>
    </row>
    <row r="542" spans="1:12" s="27" customFormat="1" hidden="1" x14ac:dyDescent="0.25">
      <c r="A542" s="25">
        <v>511</v>
      </c>
      <c r="B542" s="26" t="s">
        <v>1028</v>
      </c>
      <c r="C542" s="25" t="s">
        <v>1029</v>
      </c>
      <c r="D542" s="25" t="s">
        <v>35</v>
      </c>
      <c r="E542" s="26" t="s">
        <v>1317</v>
      </c>
      <c r="G542" s="28"/>
      <c r="K542" s="29" t="str">
        <f t="shared" si="23"/>
        <v>Meter10</v>
      </c>
      <c r="L542" s="29" t="str">
        <f t="shared" si="24"/>
        <v>U3</v>
      </c>
    </row>
    <row r="543" spans="1:12" s="27" customFormat="1" hidden="1" x14ac:dyDescent="0.25">
      <c r="A543" s="25">
        <v>512</v>
      </c>
      <c r="B543" s="26" t="s">
        <v>1030</v>
      </c>
      <c r="C543" s="25" t="s">
        <v>1031</v>
      </c>
      <c r="D543" s="25" t="s">
        <v>35</v>
      </c>
      <c r="E543" s="26" t="s">
        <v>1318</v>
      </c>
      <c r="G543" s="28"/>
      <c r="K543" s="29" t="str">
        <f t="shared" si="23"/>
        <v>Meter10</v>
      </c>
      <c r="L543" s="29" t="str">
        <f t="shared" si="24"/>
        <v>U_Ph</v>
      </c>
    </row>
    <row r="544" spans="1:12" s="27" customFormat="1" hidden="1" x14ac:dyDescent="0.25">
      <c r="A544" s="25">
        <v>513</v>
      </c>
      <c r="B544" s="26" t="s">
        <v>1032</v>
      </c>
      <c r="C544" s="25" t="s">
        <v>1033</v>
      </c>
      <c r="D544" s="25" t="s">
        <v>35</v>
      </c>
      <c r="E544" s="26" t="s">
        <v>1319</v>
      </c>
      <c r="G544" s="28"/>
      <c r="H544" s="27" t="s">
        <v>1319</v>
      </c>
      <c r="K544" s="29" t="str">
        <f t="shared" si="23"/>
        <v>Meter10</v>
      </c>
      <c r="L544" s="29" t="str">
        <f t="shared" si="24"/>
        <v>U12</v>
      </c>
    </row>
    <row r="545" spans="1:12" s="27" customFormat="1" hidden="1" x14ac:dyDescent="0.25">
      <c r="A545" s="25">
        <v>514</v>
      </c>
      <c r="B545" s="26" t="s">
        <v>1034</v>
      </c>
      <c r="C545" s="25" t="s">
        <v>1035</v>
      </c>
      <c r="D545" s="25" t="s">
        <v>35</v>
      </c>
      <c r="E545" s="26" t="s">
        <v>1320</v>
      </c>
      <c r="G545" s="28"/>
      <c r="H545" s="27" t="s">
        <v>1320</v>
      </c>
      <c r="K545" s="29" t="str">
        <f t="shared" ref="K545:K610" si="25">LEFT(B545, SEARCH("_",B545 ) - 1)</f>
        <v>Meter10</v>
      </c>
      <c r="L545" s="29" t="str">
        <f t="shared" si="24"/>
        <v>U23</v>
      </c>
    </row>
    <row r="546" spans="1:12" s="27" customFormat="1" hidden="1" x14ac:dyDescent="0.25">
      <c r="A546" s="25">
        <v>515</v>
      </c>
      <c r="B546" s="26" t="s">
        <v>1036</v>
      </c>
      <c r="C546" s="25" t="s">
        <v>1037</v>
      </c>
      <c r="D546" s="25" t="s">
        <v>35</v>
      </c>
      <c r="E546" s="26" t="s">
        <v>1321</v>
      </c>
      <c r="G546" s="28"/>
      <c r="H546" s="27" t="s">
        <v>1516</v>
      </c>
      <c r="K546" s="29" t="str">
        <f t="shared" si="25"/>
        <v>Meter10</v>
      </c>
      <c r="L546" s="29" t="str">
        <f t="shared" si="24"/>
        <v>U31</v>
      </c>
    </row>
    <row r="547" spans="1:12" s="27" customFormat="1" hidden="1" x14ac:dyDescent="0.25">
      <c r="A547" s="25">
        <v>516</v>
      </c>
      <c r="B547" s="26" t="s">
        <v>1038</v>
      </c>
      <c r="C547" s="25" t="s">
        <v>1039</v>
      </c>
      <c r="D547" s="25" t="s">
        <v>35</v>
      </c>
      <c r="E547" s="26" t="s">
        <v>1322</v>
      </c>
      <c r="G547" s="28"/>
      <c r="K547" s="29" t="str">
        <f t="shared" si="25"/>
        <v>Meter10</v>
      </c>
      <c r="L547" s="29" t="str">
        <f t="shared" si="24"/>
        <v>Uline</v>
      </c>
    </row>
    <row r="548" spans="1:12" s="27" customFormat="1" hidden="1" x14ac:dyDescent="0.25">
      <c r="A548" s="25">
        <v>517</v>
      </c>
      <c r="B548" s="26" t="s">
        <v>1040</v>
      </c>
      <c r="C548" s="25" t="s">
        <v>1041</v>
      </c>
      <c r="D548" s="25" t="s">
        <v>35</v>
      </c>
      <c r="E548" s="26" t="s">
        <v>1312</v>
      </c>
      <c r="G548" s="28"/>
      <c r="H548" s="29"/>
      <c r="K548" s="29" t="str">
        <f t="shared" si="25"/>
        <v>Meter10</v>
      </c>
      <c r="L548" s="29" t="str">
        <f t="shared" si="24"/>
        <v>I1</v>
      </c>
    </row>
    <row r="549" spans="1:12" s="27" customFormat="1" hidden="1" x14ac:dyDescent="0.25">
      <c r="A549" s="25">
        <v>518</v>
      </c>
      <c r="B549" s="26" t="s">
        <v>1042</v>
      </c>
      <c r="C549" s="25" t="s">
        <v>1043</v>
      </c>
      <c r="D549" s="25" t="s">
        <v>35</v>
      </c>
      <c r="E549" s="26" t="s">
        <v>1313</v>
      </c>
      <c r="G549" s="28"/>
      <c r="H549" s="29"/>
      <c r="K549" s="29" t="str">
        <f t="shared" si="25"/>
        <v>Meter10</v>
      </c>
      <c r="L549" s="29" t="str">
        <f t="shared" si="24"/>
        <v>I2</v>
      </c>
    </row>
    <row r="550" spans="1:12" s="27" customFormat="1" hidden="1" x14ac:dyDescent="0.25">
      <c r="A550" s="25">
        <v>519</v>
      </c>
      <c r="B550" s="26" t="s">
        <v>1044</v>
      </c>
      <c r="C550" s="25" t="s">
        <v>1045</v>
      </c>
      <c r="D550" s="25" t="s">
        <v>35</v>
      </c>
      <c r="E550" s="26" t="s">
        <v>1314</v>
      </c>
      <c r="G550" s="28"/>
      <c r="H550" s="29"/>
      <c r="K550" s="29" t="str">
        <f t="shared" si="25"/>
        <v>Meter10</v>
      </c>
      <c r="L550" s="29" t="str">
        <f t="shared" ref="L550:L615" si="26">RIGHT(B550, LEN(B550)-SEARCH("_",B550 ))</f>
        <v>I3</v>
      </c>
    </row>
    <row r="551" spans="1:12" s="27" customFormat="1" hidden="1" x14ac:dyDescent="0.25">
      <c r="A551" s="25">
        <v>520</v>
      </c>
      <c r="B551" s="26" t="s">
        <v>1046</v>
      </c>
      <c r="C551" s="25" t="s">
        <v>1047</v>
      </c>
      <c r="D551" s="25" t="s">
        <v>35</v>
      </c>
      <c r="E551" s="26" t="s">
        <v>1311</v>
      </c>
      <c r="G551" s="28"/>
      <c r="H551" s="26" t="s">
        <v>1311</v>
      </c>
      <c r="K551" s="29" t="str">
        <f t="shared" si="25"/>
        <v>Meter10</v>
      </c>
      <c r="L551" s="29" t="str">
        <f t="shared" si="26"/>
        <v>I_ph</v>
      </c>
    </row>
    <row r="552" spans="1:12" s="27" customFormat="1" hidden="1" x14ac:dyDescent="0.25">
      <c r="A552" s="25">
        <v>521</v>
      </c>
      <c r="B552" s="26" t="s">
        <v>1048</v>
      </c>
      <c r="C552" s="25" t="s">
        <v>1049</v>
      </c>
      <c r="D552" s="25" t="s">
        <v>35</v>
      </c>
      <c r="E552" s="26" t="s">
        <v>1323</v>
      </c>
      <c r="G552" s="28"/>
      <c r="K552" s="29" t="str">
        <f t="shared" si="25"/>
        <v>Meter10</v>
      </c>
      <c r="L552" s="29" t="str">
        <f t="shared" si="26"/>
        <v>kw1</v>
      </c>
    </row>
    <row r="553" spans="1:12" s="27" customFormat="1" hidden="1" x14ac:dyDescent="0.25">
      <c r="A553" s="25">
        <v>522</v>
      </c>
      <c r="B553" s="26" t="s">
        <v>1050</v>
      </c>
      <c r="C553" s="25" t="s">
        <v>1051</v>
      </c>
      <c r="D553" s="25" t="s">
        <v>35</v>
      </c>
      <c r="E553" s="26" t="s">
        <v>1324</v>
      </c>
      <c r="G553" s="28"/>
      <c r="K553" s="29" t="str">
        <f t="shared" si="25"/>
        <v>Meter10</v>
      </c>
      <c r="L553" s="29" t="str">
        <f t="shared" si="26"/>
        <v>kw2</v>
      </c>
    </row>
    <row r="554" spans="1:12" s="27" customFormat="1" hidden="1" x14ac:dyDescent="0.25">
      <c r="A554" s="25">
        <v>523</v>
      </c>
      <c r="B554" s="26" t="s">
        <v>1052</v>
      </c>
      <c r="C554" s="25" t="s">
        <v>1053</v>
      </c>
      <c r="D554" s="25" t="s">
        <v>35</v>
      </c>
      <c r="E554" s="26" t="s">
        <v>1325</v>
      </c>
      <c r="G554" s="28"/>
      <c r="K554" s="29" t="str">
        <f t="shared" si="25"/>
        <v>Meter10</v>
      </c>
      <c r="L554" s="29" t="str">
        <f t="shared" si="26"/>
        <v>kw3</v>
      </c>
    </row>
    <row r="555" spans="1:12" s="27" customFormat="1" hidden="1" x14ac:dyDescent="0.25">
      <c r="A555" s="25">
        <v>524</v>
      </c>
      <c r="B555" s="26" t="s">
        <v>1054</v>
      </c>
      <c r="C555" s="25" t="s">
        <v>1055</v>
      </c>
      <c r="D555" s="25" t="s">
        <v>35</v>
      </c>
      <c r="E555" s="26" t="s">
        <v>1326</v>
      </c>
      <c r="G555" s="28"/>
      <c r="K555" s="29" t="str">
        <f t="shared" si="25"/>
        <v>Meter10</v>
      </c>
      <c r="L555" s="29" t="str">
        <f t="shared" si="26"/>
        <v>kva1</v>
      </c>
    </row>
    <row r="556" spans="1:12" s="27" customFormat="1" hidden="1" x14ac:dyDescent="0.25">
      <c r="A556" s="25">
        <v>525</v>
      </c>
      <c r="B556" s="26" t="s">
        <v>1056</v>
      </c>
      <c r="C556" s="25" t="s">
        <v>1057</v>
      </c>
      <c r="D556" s="25" t="s">
        <v>35</v>
      </c>
      <c r="E556" s="26" t="s">
        <v>1327</v>
      </c>
      <c r="G556" s="28"/>
      <c r="K556" s="29" t="str">
        <f t="shared" si="25"/>
        <v>Meter10</v>
      </c>
      <c r="L556" s="29" t="str">
        <f t="shared" si="26"/>
        <v>kva2</v>
      </c>
    </row>
    <row r="557" spans="1:12" s="27" customFormat="1" hidden="1" x14ac:dyDescent="0.25">
      <c r="A557" s="25">
        <v>526</v>
      </c>
      <c r="B557" s="26" t="s">
        <v>1058</v>
      </c>
      <c r="C557" s="25" t="s">
        <v>1059</v>
      </c>
      <c r="D557" s="25" t="s">
        <v>35</v>
      </c>
      <c r="E557" s="26" t="s">
        <v>1328</v>
      </c>
      <c r="G557" s="28"/>
      <c r="K557" s="29" t="str">
        <f t="shared" si="25"/>
        <v>Meter10</v>
      </c>
      <c r="L557" s="29" t="str">
        <f t="shared" si="26"/>
        <v>kva3</v>
      </c>
    </row>
    <row r="558" spans="1:12" s="27" customFormat="1" hidden="1" x14ac:dyDescent="0.25">
      <c r="A558" s="25">
        <v>527</v>
      </c>
      <c r="B558" s="26" t="s">
        <v>1060</v>
      </c>
      <c r="C558" s="25" t="s">
        <v>1061</v>
      </c>
      <c r="D558" s="25" t="s">
        <v>35</v>
      </c>
      <c r="E558" s="26" t="s">
        <v>1329</v>
      </c>
      <c r="G558" s="28"/>
      <c r="K558" s="29" t="str">
        <f t="shared" si="25"/>
        <v>Meter10</v>
      </c>
      <c r="L558" s="29" t="str">
        <f t="shared" si="26"/>
        <v>kvar1</v>
      </c>
    </row>
    <row r="559" spans="1:12" s="27" customFormat="1" hidden="1" x14ac:dyDescent="0.25">
      <c r="A559" s="25">
        <v>528</v>
      </c>
      <c r="B559" s="26" t="s">
        <v>1062</v>
      </c>
      <c r="C559" s="25" t="s">
        <v>1063</v>
      </c>
      <c r="D559" s="25" t="s">
        <v>35</v>
      </c>
      <c r="E559" s="26" t="s">
        <v>1330</v>
      </c>
      <c r="G559" s="28"/>
      <c r="K559" s="29" t="str">
        <f t="shared" si="25"/>
        <v>Meter10</v>
      </c>
      <c r="L559" s="29" t="str">
        <f t="shared" si="26"/>
        <v>kvar2</v>
      </c>
    </row>
    <row r="560" spans="1:12" s="27" customFormat="1" hidden="1" x14ac:dyDescent="0.25">
      <c r="A560" s="25">
        <v>529</v>
      </c>
      <c r="B560" s="26" t="s">
        <v>1064</v>
      </c>
      <c r="C560" s="25" t="s">
        <v>1065</v>
      </c>
      <c r="D560" s="25" t="s">
        <v>35</v>
      </c>
      <c r="E560" s="26" t="s">
        <v>1331</v>
      </c>
      <c r="G560" s="28"/>
      <c r="K560" s="29" t="str">
        <f t="shared" si="25"/>
        <v>Meter10</v>
      </c>
      <c r="L560" s="29" t="str">
        <f t="shared" si="26"/>
        <v>kvar3</v>
      </c>
    </row>
    <row r="561" spans="1:12" s="27" customFormat="1" hidden="1" x14ac:dyDescent="0.25">
      <c r="A561" s="25">
        <v>530</v>
      </c>
      <c r="B561" s="26" t="s">
        <v>1066</v>
      </c>
      <c r="C561" s="25" t="s">
        <v>1067</v>
      </c>
      <c r="D561" s="25" t="s">
        <v>35</v>
      </c>
      <c r="E561" s="26" t="s">
        <v>1332</v>
      </c>
      <c r="G561" s="28"/>
      <c r="H561" s="27" t="s">
        <v>1482</v>
      </c>
      <c r="K561" s="29" t="str">
        <f t="shared" si="25"/>
        <v>Meter10</v>
      </c>
      <c r="L561" s="29" t="str">
        <f t="shared" si="26"/>
        <v>total_kw</v>
      </c>
    </row>
    <row r="562" spans="1:12" s="27" customFormat="1" hidden="1" x14ac:dyDescent="0.25">
      <c r="A562" s="25">
        <v>531</v>
      </c>
      <c r="B562" s="26" t="s">
        <v>1068</v>
      </c>
      <c r="C562" s="25" t="s">
        <v>1069</v>
      </c>
      <c r="D562" s="25" t="s">
        <v>35</v>
      </c>
      <c r="E562" s="26" t="s">
        <v>1333</v>
      </c>
      <c r="G562" s="28"/>
      <c r="K562" s="29" t="str">
        <f t="shared" si="25"/>
        <v>Meter10</v>
      </c>
      <c r="L562" s="29" t="str">
        <f t="shared" si="26"/>
        <v>total_kva</v>
      </c>
    </row>
    <row r="563" spans="1:12" s="27" customFormat="1" hidden="1" x14ac:dyDescent="0.25">
      <c r="A563" s="25">
        <v>532</v>
      </c>
      <c r="B563" s="26" t="s">
        <v>1070</v>
      </c>
      <c r="C563" s="25" t="s">
        <v>1071</v>
      </c>
      <c r="D563" s="25" t="s">
        <v>35</v>
      </c>
      <c r="E563" s="26" t="s">
        <v>1334</v>
      </c>
      <c r="G563" s="28"/>
      <c r="K563" s="29" t="str">
        <f t="shared" si="25"/>
        <v>Meter10</v>
      </c>
      <c r="L563" s="29" t="str">
        <f t="shared" si="26"/>
        <v>total_kvar</v>
      </c>
    </row>
    <row r="564" spans="1:12" s="27" customFormat="1" hidden="1" x14ac:dyDescent="0.25">
      <c r="A564" s="25">
        <v>533</v>
      </c>
      <c r="B564" s="26" t="s">
        <v>1072</v>
      </c>
      <c r="C564" s="25" t="s">
        <v>1073</v>
      </c>
      <c r="D564" s="25" t="s">
        <v>35</v>
      </c>
      <c r="E564" s="26" t="s">
        <v>1335</v>
      </c>
      <c r="G564" s="28"/>
      <c r="K564" s="29" t="str">
        <f t="shared" si="25"/>
        <v>Meter10</v>
      </c>
      <c r="L564" s="29" t="str">
        <f t="shared" si="26"/>
        <v>PF1</v>
      </c>
    </row>
    <row r="565" spans="1:12" s="27" customFormat="1" hidden="1" x14ac:dyDescent="0.25">
      <c r="A565" s="25">
        <v>534</v>
      </c>
      <c r="B565" s="26" t="s">
        <v>1074</v>
      </c>
      <c r="C565" s="25" t="s">
        <v>1075</v>
      </c>
      <c r="D565" s="25" t="s">
        <v>35</v>
      </c>
      <c r="E565" s="26" t="s">
        <v>1336</v>
      </c>
      <c r="G565" s="28"/>
      <c r="K565" s="29" t="str">
        <f t="shared" si="25"/>
        <v>Meter10</v>
      </c>
      <c r="L565" s="29" t="str">
        <f t="shared" si="26"/>
        <v>PF2</v>
      </c>
    </row>
    <row r="566" spans="1:12" s="27" customFormat="1" hidden="1" x14ac:dyDescent="0.25">
      <c r="A566" s="25">
        <v>535</v>
      </c>
      <c r="B566" s="26" t="s">
        <v>1076</v>
      </c>
      <c r="C566" s="25" t="s">
        <v>1077</v>
      </c>
      <c r="D566" s="25" t="s">
        <v>35</v>
      </c>
      <c r="E566" s="26" t="s">
        <v>1337</v>
      </c>
      <c r="G566" s="28"/>
      <c r="K566" s="29" t="str">
        <f t="shared" si="25"/>
        <v>Meter10</v>
      </c>
      <c r="L566" s="29" t="str">
        <f t="shared" si="26"/>
        <v>PF3</v>
      </c>
    </row>
    <row r="567" spans="1:12" s="27" customFormat="1" hidden="1" x14ac:dyDescent="0.25">
      <c r="A567" s="25">
        <v>536</v>
      </c>
      <c r="B567" s="26" t="s">
        <v>1078</v>
      </c>
      <c r="C567" s="25" t="s">
        <v>1079</v>
      </c>
      <c r="D567" s="25" t="s">
        <v>35</v>
      </c>
      <c r="E567" s="26" t="s">
        <v>1338</v>
      </c>
      <c r="G567" s="28"/>
      <c r="H567" s="27" t="s">
        <v>1405</v>
      </c>
      <c r="K567" s="29" t="str">
        <f t="shared" si="25"/>
        <v>Meter10</v>
      </c>
      <c r="L567" s="29" t="str">
        <f t="shared" si="26"/>
        <v>PF</v>
      </c>
    </row>
    <row r="568" spans="1:12" s="27" customFormat="1" hidden="1" x14ac:dyDescent="0.25">
      <c r="A568" s="25">
        <v>537</v>
      </c>
      <c r="B568" s="26" t="s">
        <v>1080</v>
      </c>
      <c r="C568" s="25" t="s">
        <v>1081</v>
      </c>
      <c r="D568" s="25" t="s">
        <v>35</v>
      </c>
      <c r="E568" s="26" t="s">
        <v>1339</v>
      </c>
      <c r="G568" s="28"/>
      <c r="H568" s="27" t="s">
        <v>1339</v>
      </c>
      <c r="K568" s="29" t="str">
        <f t="shared" si="25"/>
        <v>Meter10</v>
      </c>
      <c r="L568" s="29" t="str">
        <f t="shared" si="26"/>
        <v>freq</v>
      </c>
    </row>
    <row r="569" spans="1:12" s="27" customFormat="1" hidden="1" x14ac:dyDescent="0.25">
      <c r="A569" s="25">
        <v>538</v>
      </c>
      <c r="B569" s="26" t="s">
        <v>1082</v>
      </c>
      <c r="C569" s="25" t="s">
        <v>1083</v>
      </c>
      <c r="D569" s="25" t="s">
        <v>35</v>
      </c>
      <c r="E569" s="26" t="s">
        <v>1340</v>
      </c>
      <c r="G569" s="28"/>
      <c r="H569" s="27" t="s">
        <v>1340</v>
      </c>
      <c r="K569" s="29" t="str">
        <f t="shared" si="25"/>
        <v>Meter10</v>
      </c>
      <c r="L569" s="29" t="str">
        <f t="shared" si="26"/>
        <v>kwh</v>
      </c>
    </row>
    <row r="570" spans="1:12" s="27" customFormat="1" hidden="1" x14ac:dyDescent="0.25">
      <c r="A570" s="25">
        <v>539</v>
      </c>
      <c r="B570" s="26" t="s">
        <v>1084</v>
      </c>
      <c r="C570" s="25" t="s">
        <v>1085</v>
      </c>
      <c r="D570" s="25" t="s">
        <v>35</v>
      </c>
      <c r="E570" s="26" t="s">
        <v>1341</v>
      </c>
      <c r="G570" s="28"/>
      <c r="K570" s="29" t="str">
        <f t="shared" si="25"/>
        <v>Meter10</v>
      </c>
      <c r="L570" s="29" t="str">
        <f t="shared" si="26"/>
        <v>kvah</v>
      </c>
    </row>
    <row r="571" spans="1:12" s="27" customFormat="1" hidden="1" x14ac:dyDescent="0.25">
      <c r="A571" s="25">
        <v>540</v>
      </c>
      <c r="B571" s="26" t="s">
        <v>1086</v>
      </c>
      <c r="C571" s="25" t="s">
        <v>1087</v>
      </c>
      <c r="D571" s="25" t="s">
        <v>35</v>
      </c>
      <c r="E571" s="26" t="s">
        <v>1342</v>
      </c>
      <c r="G571" s="28"/>
      <c r="K571" s="29" t="str">
        <f t="shared" si="25"/>
        <v>Meter10</v>
      </c>
      <c r="L571" s="29" t="str">
        <f t="shared" si="26"/>
        <v>kvarh</v>
      </c>
    </row>
    <row r="572" spans="1:12" s="27" customFormat="1" hidden="1" x14ac:dyDescent="0.25">
      <c r="A572" s="25">
        <v>541</v>
      </c>
      <c r="B572" s="26" t="s">
        <v>1088</v>
      </c>
      <c r="C572" s="25" t="s">
        <v>1089</v>
      </c>
      <c r="D572" s="25" t="s">
        <v>7</v>
      </c>
      <c r="E572" s="26" t="s">
        <v>1343</v>
      </c>
      <c r="G572" s="28"/>
      <c r="K572" s="29" t="str">
        <f t="shared" si="25"/>
        <v>Pump10</v>
      </c>
      <c r="L572" s="29" t="str">
        <f t="shared" si="26"/>
        <v>Ctrl_run_Pump</v>
      </c>
    </row>
    <row r="573" spans="1:12" s="27" customFormat="1" hidden="1" x14ac:dyDescent="0.25">
      <c r="A573" s="25">
        <v>542</v>
      </c>
      <c r="B573" s="26" t="s">
        <v>1090</v>
      </c>
      <c r="C573" s="25" t="s">
        <v>1091</v>
      </c>
      <c r="D573" s="25" t="s">
        <v>7</v>
      </c>
      <c r="E573" s="26" t="s">
        <v>1354</v>
      </c>
      <c r="G573" s="28"/>
      <c r="H573" s="27" t="s">
        <v>1496</v>
      </c>
      <c r="K573" s="29" t="str">
        <f t="shared" si="25"/>
        <v>Pump10</v>
      </c>
      <c r="L573" s="29" t="str">
        <f t="shared" si="26"/>
        <v>FB_Fault</v>
      </c>
    </row>
    <row r="574" spans="1:12" s="27" customFormat="1" hidden="1" x14ac:dyDescent="0.25">
      <c r="A574" s="25">
        <v>543</v>
      </c>
      <c r="B574" s="26" t="s">
        <v>1092</v>
      </c>
      <c r="C574" s="25" t="s">
        <v>1093</v>
      </c>
      <c r="D574" s="25" t="s">
        <v>7</v>
      </c>
      <c r="E574" s="26" t="s">
        <v>1344</v>
      </c>
      <c r="G574" s="28"/>
      <c r="K574" s="29" t="str">
        <f t="shared" si="25"/>
        <v>Pump10</v>
      </c>
      <c r="L574" s="29" t="str">
        <f t="shared" si="26"/>
        <v>Ctrl_PB_Run</v>
      </c>
    </row>
    <row r="575" spans="1:12" s="27" customFormat="1" hidden="1" x14ac:dyDescent="0.25">
      <c r="A575" s="25">
        <v>544</v>
      </c>
      <c r="B575" s="26" t="s">
        <v>1094</v>
      </c>
      <c r="C575" s="25" t="s">
        <v>1095</v>
      </c>
      <c r="D575" s="25" t="s">
        <v>7</v>
      </c>
      <c r="E575" s="26" t="s">
        <v>1345</v>
      </c>
      <c r="G575" s="28"/>
      <c r="K575" s="29" t="str">
        <f t="shared" si="25"/>
        <v>Pump10</v>
      </c>
      <c r="L575" s="29" t="str">
        <f t="shared" si="26"/>
        <v>Ctrl_PB_Stop</v>
      </c>
    </row>
    <row r="576" spans="1:12" s="27" customFormat="1" hidden="1" x14ac:dyDescent="0.25">
      <c r="A576" s="25">
        <v>545</v>
      </c>
      <c r="B576" s="26" t="s">
        <v>1096</v>
      </c>
      <c r="C576" s="25" t="s">
        <v>1097</v>
      </c>
      <c r="D576" s="25" t="s">
        <v>7</v>
      </c>
      <c r="E576" s="26" t="s">
        <v>1346</v>
      </c>
      <c r="G576" s="28"/>
      <c r="K576" s="29" t="str">
        <f t="shared" si="25"/>
        <v>Pump10</v>
      </c>
      <c r="L576" s="29" t="str">
        <f t="shared" si="26"/>
        <v>Ctrl_PB_RST</v>
      </c>
    </row>
    <row r="577" spans="1:12" s="30" customFormat="1" hidden="1" x14ac:dyDescent="0.25">
      <c r="A577" s="23">
        <v>50</v>
      </c>
      <c r="B577" s="24" t="s">
        <v>1598</v>
      </c>
      <c r="C577" s="23" t="s">
        <v>1596</v>
      </c>
      <c r="D577" s="23" t="s">
        <v>7</v>
      </c>
      <c r="E577" s="24" t="s">
        <v>1558</v>
      </c>
      <c r="G577" s="28"/>
      <c r="K577" s="31" t="str">
        <f t="shared" si="25"/>
        <v>Pump10</v>
      </c>
      <c r="L577" s="31" t="str">
        <f t="shared" si="26"/>
        <v>Ctrl_PB_Maintenance</v>
      </c>
    </row>
    <row r="578" spans="1:12" s="30" customFormat="1" hidden="1" x14ac:dyDescent="0.25">
      <c r="A578" s="23">
        <v>50</v>
      </c>
      <c r="B578" s="24" t="s">
        <v>1599</v>
      </c>
      <c r="C578" s="23" t="s">
        <v>1597</v>
      </c>
      <c r="D578" s="23" t="s">
        <v>7</v>
      </c>
      <c r="E578" s="24" t="s">
        <v>1559</v>
      </c>
      <c r="G578" s="28"/>
      <c r="H578" s="30" t="s">
        <v>1563</v>
      </c>
      <c r="K578" s="31" t="str">
        <f t="shared" si="25"/>
        <v>Pump10</v>
      </c>
      <c r="L578" s="31" t="str">
        <f t="shared" si="26"/>
        <v>FB_Maintenance</v>
      </c>
    </row>
    <row r="579" spans="1:12" s="27" customFormat="1" hidden="1" x14ac:dyDescent="0.25">
      <c r="A579" s="25">
        <v>546</v>
      </c>
      <c r="B579" s="26" t="s">
        <v>1098</v>
      </c>
      <c r="C579" s="25" t="s">
        <v>1099</v>
      </c>
      <c r="D579" s="25" t="s">
        <v>24</v>
      </c>
      <c r="E579" s="26" t="s">
        <v>1347</v>
      </c>
      <c r="G579" s="28"/>
      <c r="H579" s="27" t="s">
        <v>1518</v>
      </c>
      <c r="K579" s="29" t="str">
        <f t="shared" si="25"/>
        <v>Pump10</v>
      </c>
      <c r="L579" s="29" t="str">
        <f t="shared" si="26"/>
        <v>Time_Run_M</v>
      </c>
    </row>
    <row r="580" spans="1:12" s="27" customFormat="1" hidden="1" x14ac:dyDescent="0.25">
      <c r="A580" s="25">
        <v>547</v>
      </c>
      <c r="B580" s="26" t="s">
        <v>1100</v>
      </c>
      <c r="C580" s="25" t="s">
        <v>1101</v>
      </c>
      <c r="D580" s="25" t="s">
        <v>24</v>
      </c>
      <c r="E580" s="26" t="s">
        <v>1348</v>
      </c>
      <c r="G580" s="28"/>
      <c r="H580" s="27" t="s">
        <v>1518</v>
      </c>
      <c r="K580" s="29" t="str">
        <f t="shared" si="25"/>
        <v>Pump10</v>
      </c>
      <c r="L580" s="29" t="str">
        <f t="shared" si="26"/>
        <v>Time_Run_H</v>
      </c>
    </row>
    <row r="581" spans="1:12" s="27" customFormat="1" hidden="1" x14ac:dyDescent="0.25">
      <c r="A581" s="25">
        <v>548</v>
      </c>
      <c r="B581" s="26" t="s">
        <v>1102</v>
      </c>
      <c r="C581" s="25" t="s">
        <v>1103</v>
      </c>
      <c r="D581" s="25" t="s">
        <v>24</v>
      </c>
      <c r="E581" s="26" t="s">
        <v>1349</v>
      </c>
      <c r="G581" s="28"/>
      <c r="H581" s="27" t="s">
        <v>1517</v>
      </c>
      <c r="K581" s="29" t="str">
        <f t="shared" si="25"/>
        <v>Pump10</v>
      </c>
      <c r="L581" s="29" t="str">
        <f t="shared" si="26"/>
        <v>Total_Time_Run_M</v>
      </c>
    </row>
    <row r="582" spans="1:12" s="27" customFormat="1" hidden="1" x14ac:dyDescent="0.25">
      <c r="A582" s="25">
        <v>549</v>
      </c>
      <c r="B582" s="26" t="s">
        <v>1104</v>
      </c>
      <c r="C582" s="25" t="s">
        <v>1105</v>
      </c>
      <c r="D582" s="25" t="s">
        <v>24</v>
      </c>
      <c r="E582" s="26" t="s">
        <v>1350</v>
      </c>
      <c r="G582" s="28"/>
      <c r="H582" s="27" t="s">
        <v>1517</v>
      </c>
      <c r="K582" s="29" t="str">
        <f t="shared" si="25"/>
        <v>Pump10</v>
      </c>
      <c r="L582" s="29" t="str">
        <f t="shared" si="26"/>
        <v>Total_Time_Run_H</v>
      </c>
    </row>
    <row r="583" spans="1:12" s="27" customFormat="1" hidden="1" x14ac:dyDescent="0.25">
      <c r="A583" s="25">
        <v>550</v>
      </c>
      <c r="B583" s="26" t="s">
        <v>1106</v>
      </c>
      <c r="C583" s="25" t="s">
        <v>1107</v>
      </c>
      <c r="D583" s="25" t="s">
        <v>24</v>
      </c>
      <c r="E583" s="26" t="s">
        <v>1351</v>
      </c>
      <c r="G583" s="28"/>
      <c r="K583" s="29" t="str">
        <f t="shared" si="25"/>
        <v>Pump10</v>
      </c>
      <c r="L583" s="29" t="str">
        <f t="shared" si="26"/>
        <v>NumberOfclose</v>
      </c>
    </row>
    <row r="584" spans="1:12" s="27" customFormat="1" ht="15" hidden="1" customHeight="1" x14ac:dyDescent="0.25">
      <c r="A584" s="25">
        <v>551</v>
      </c>
      <c r="B584" s="26" t="s">
        <v>1108</v>
      </c>
      <c r="C584" s="25" t="s">
        <v>1109</v>
      </c>
      <c r="D584" s="25" t="s">
        <v>35</v>
      </c>
      <c r="E584" s="26" t="s">
        <v>1315</v>
      </c>
      <c r="G584" s="33"/>
      <c r="H584" s="34"/>
      <c r="K584" s="29" t="str">
        <f t="shared" si="25"/>
        <v>Meter0</v>
      </c>
      <c r="L584" s="29" t="str">
        <f t="shared" si="26"/>
        <v>U1</v>
      </c>
    </row>
    <row r="585" spans="1:12" s="27" customFormat="1" hidden="1" x14ac:dyDescent="0.25">
      <c r="A585" s="25">
        <v>552</v>
      </c>
      <c r="B585" s="26" t="s">
        <v>1110</v>
      </c>
      <c r="C585" s="25" t="s">
        <v>1111</v>
      </c>
      <c r="D585" s="25" t="s">
        <v>35</v>
      </c>
      <c r="E585" s="26" t="s">
        <v>1316</v>
      </c>
      <c r="G585" s="33"/>
      <c r="H585" s="34"/>
      <c r="K585" s="29" t="str">
        <f t="shared" si="25"/>
        <v>Meter0</v>
      </c>
      <c r="L585" s="29" t="str">
        <f t="shared" si="26"/>
        <v>U2</v>
      </c>
    </row>
    <row r="586" spans="1:12" s="27" customFormat="1" hidden="1" x14ac:dyDescent="0.25">
      <c r="A586" s="25">
        <v>553</v>
      </c>
      <c r="B586" s="26" t="s">
        <v>1112</v>
      </c>
      <c r="C586" s="25" t="s">
        <v>1113</v>
      </c>
      <c r="D586" s="25" t="s">
        <v>35</v>
      </c>
      <c r="E586" s="26" t="s">
        <v>1317</v>
      </c>
      <c r="G586" s="33"/>
      <c r="H586" s="34"/>
      <c r="K586" s="29" t="str">
        <f t="shared" si="25"/>
        <v>Meter0</v>
      </c>
      <c r="L586" s="29" t="str">
        <f t="shared" si="26"/>
        <v>U3</v>
      </c>
    </row>
    <row r="587" spans="1:12" s="27" customFormat="1" hidden="1" x14ac:dyDescent="0.25">
      <c r="A587" s="25">
        <v>554</v>
      </c>
      <c r="B587" s="26" t="s">
        <v>1114</v>
      </c>
      <c r="C587" s="25" t="s">
        <v>1115</v>
      </c>
      <c r="D587" s="25" t="s">
        <v>35</v>
      </c>
      <c r="E587" s="26" t="s">
        <v>1318</v>
      </c>
      <c r="G587" s="33"/>
      <c r="H587" s="34"/>
      <c r="K587" s="29" t="str">
        <f t="shared" si="25"/>
        <v>Meter0</v>
      </c>
      <c r="L587" s="29" t="str">
        <f t="shared" si="26"/>
        <v>U_Ph</v>
      </c>
    </row>
    <row r="588" spans="1:12" s="27" customFormat="1" hidden="1" x14ac:dyDescent="0.25">
      <c r="A588" s="25">
        <v>555</v>
      </c>
      <c r="B588" s="26" t="s">
        <v>1116</v>
      </c>
      <c r="C588" s="25" t="s">
        <v>1117</v>
      </c>
      <c r="D588" s="25" t="s">
        <v>35</v>
      </c>
      <c r="E588" s="26" t="s">
        <v>1319</v>
      </c>
      <c r="G588" s="33"/>
      <c r="H588" s="26"/>
      <c r="K588" s="29" t="str">
        <f t="shared" si="25"/>
        <v>Meter0</v>
      </c>
      <c r="L588" s="29" t="str">
        <f t="shared" si="26"/>
        <v>U12</v>
      </c>
    </row>
    <row r="589" spans="1:12" s="27" customFormat="1" hidden="1" x14ac:dyDescent="0.25">
      <c r="A589" s="25">
        <v>556</v>
      </c>
      <c r="B589" s="26" t="s">
        <v>1118</v>
      </c>
      <c r="C589" s="25" t="s">
        <v>1119</v>
      </c>
      <c r="D589" s="25" t="s">
        <v>35</v>
      </c>
      <c r="E589" s="26" t="s">
        <v>1320</v>
      </c>
      <c r="G589" s="33"/>
      <c r="H589" s="26"/>
      <c r="K589" s="29" t="str">
        <f t="shared" si="25"/>
        <v>Meter0</v>
      </c>
      <c r="L589" s="29" t="str">
        <f t="shared" si="26"/>
        <v>U23</v>
      </c>
    </row>
    <row r="590" spans="1:12" s="27" customFormat="1" hidden="1" x14ac:dyDescent="0.25">
      <c r="A590" s="25">
        <v>557</v>
      </c>
      <c r="B590" s="26" t="s">
        <v>1120</v>
      </c>
      <c r="C590" s="25" t="s">
        <v>1121</v>
      </c>
      <c r="D590" s="25" t="s">
        <v>35</v>
      </c>
      <c r="E590" s="26" t="s">
        <v>1321</v>
      </c>
      <c r="G590" s="33"/>
      <c r="H590" s="26"/>
      <c r="K590" s="29" t="str">
        <f t="shared" si="25"/>
        <v>Meter0</v>
      </c>
      <c r="L590" s="29" t="str">
        <f t="shared" si="26"/>
        <v>U31</v>
      </c>
    </row>
    <row r="591" spans="1:12" s="27" customFormat="1" hidden="1" x14ac:dyDescent="0.25">
      <c r="A591" s="25">
        <v>558</v>
      </c>
      <c r="B591" s="26" t="s">
        <v>1122</v>
      </c>
      <c r="C591" s="25" t="s">
        <v>1123</v>
      </c>
      <c r="D591" s="25" t="s">
        <v>35</v>
      </c>
      <c r="E591" s="26" t="s">
        <v>1322</v>
      </c>
      <c r="G591" s="33"/>
      <c r="H591" s="34"/>
      <c r="K591" s="29" t="str">
        <f t="shared" si="25"/>
        <v>Meter0</v>
      </c>
      <c r="L591" s="29" t="str">
        <f t="shared" si="26"/>
        <v>Uline</v>
      </c>
    </row>
    <row r="592" spans="1:12" s="27" customFormat="1" hidden="1" x14ac:dyDescent="0.25">
      <c r="A592" s="25">
        <v>559</v>
      </c>
      <c r="B592" s="26" t="s">
        <v>1124</v>
      </c>
      <c r="C592" s="25" t="s">
        <v>1125</v>
      </c>
      <c r="D592" s="25" t="s">
        <v>35</v>
      </c>
      <c r="E592" s="26" t="s">
        <v>1312</v>
      </c>
      <c r="G592" s="33"/>
      <c r="H592" s="34"/>
      <c r="K592" s="29" t="str">
        <f t="shared" si="25"/>
        <v>Meter0</v>
      </c>
      <c r="L592" s="29" t="str">
        <f t="shared" si="26"/>
        <v>I1</v>
      </c>
    </row>
    <row r="593" spans="1:12" s="27" customFormat="1" hidden="1" x14ac:dyDescent="0.25">
      <c r="A593" s="25">
        <v>560</v>
      </c>
      <c r="B593" s="26" t="s">
        <v>1126</v>
      </c>
      <c r="C593" s="25" t="s">
        <v>1127</v>
      </c>
      <c r="D593" s="25" t="s">
        <v>35</v>
      </c>
      <c r="E593" s="26" t="s">
        <v>1313</v>
      </c>
      <c r="G593" s="33"/>
      <c r="H593" s="34"/>
      <c r="K593" s="29" t="str">
        <f t="shared" si="25"/>
        <v>Meter0</v>
      </c>
      <c r="L593" s="29" t="str">
        <f t="shared" si="26"/>
        <v>I2</v>
      </c>
    </row>
    <row r="594" spans="1:12" s="27" customFormat="1" hidden="1" x14ac:dyDescent="0.25">
      <c r="A594" s="25">
        <v>561</v>
      </c>
      <c r="B594" s="26" t="s">
        <v>1128</v>
      </c>
      <c r="C594" s="25" t="s">
        <v>1129</v>
      </c>
      <c r="D594" s="25" t="s">
        <v>35</v>
      </c>
      <c r="E594" s="26" t="s">
        <v>1314</v>
      </c>
      <c r="G594" s="33"/>
      <c r="H594" s="34"/>
      <c r="K594" s="29" t="str">
        <f t="shared" si="25"/>
        <v>Meter0</v>
      </c>
      <c r="L594" s="29" t="str">
        <f t="shared" si="26"/>
        <v>I3</v>
      </c>
    </row>
    <row r="595" spans="1:12" s="27" customFormat="1" hidden="1" x14ac:dyDescent="0.25">
      <c r="A595" s="25">
        <v>562</v>
      </c>
      <c r="B595" s="26" t="s">
        <v>1130</v>
      </c>
      <c r="C595" s="25" t="s">
        <v>1131</v>
      </c>
      <c r="D595" s="25" t="s">
        <v>35</v>
      </c>
      <c r="E595" s="26" t="s">
        <v>1311</v>
      </c>
      <c r="G595" s="33"/>
      <c r="H595" s="26"/>
      <c r="K595" s="29" t="str">
        <f t="shared" si="25"/>
        <v>Meter0</v>
      </c>
      <c r="L595" s="29" t="str">
        <f t="shared" si="26"/>
        <v>I_ph</v>
      </c>
    </row>
    <row r="596" spans="1:12" s="27" customFormat="1" hidden="1" x14ac:dyDescent="0.25">
      <c r="A596" s="25">
        <v>563</v>
      </c>
      <c r="B596" s="26" t="s">
        <v>1132</v>
      </c>
      <c r="C596" s="25" t="s">
        <v>1133</v>
      </c>
      <c r="D596" s="25" t="s">
        <v>35</v>
      </c>
      <c r="E596" s="26" t="s">
        <v>1323</v>
      </c>
      <c r="G596" s="33"/>
      <c r="H596" s="34"/>
      <c r="K596" s="29" t="str">
        <f t="shared" si="25"/>
        <v>Meter0</v>
      </c>
      <c r="L596" s="29" t="str">
        <f t="shared" si="26"/>
        <v>kw1</v>
      </c>
    </row>
    <row r="597" spans="1:12" s="27" customFormat="1" hidden="1" x14ac:dyDescent="0.25">
      <c r="A597" s="25">
        <v>564</v>
      </c>
      <c r="B597" s="26" t="s">
        <v>1134</v>
      </c>
      <c r="C597" s="25" t="s">
        <v>1135</v>
      </c>
      <c r="D597" s="25" t="s">
        <v>35</v>
      </c>
      <c r="E597" s="26" t="s">
        <v>1324</v>
      </c>
      <c r="G597" s="33"/>
      <c r="H597" s="34"/>
      <c r="K597" s="29" t="str">
        <f t="shared" si="25"/>
        <v>Meter0</v>
      </c>
      <c r="L597" s="29" t="str">
        <f t="shared" si="26"/>
        <v>kw2</v>
      </c>
    </row>
    <row r="598" spans="1:12" s="27" customFormat="1" hidden="1" x14ac:dyDescent="0.25">
      <c r="A598" s="25">
        <v>565</v>
      </c>
      <c r="B598" s="26" t="s">
        <v>1136</v>
      </c>
      <c r="C598" s="25" t="s">
        <v>1137</v>
      </c>
      <c r="D598" s="25" t="s">
        <v>35</v>
      </c>
      <c r="E598" s="26" t="s">
        <v>1325</v>
      </c>
      <c r="G598" s="33"/>
      <c r="H598" s="34"/>
      <c r="K598" s="29" t="str">
        <f t="shared" si="25"/>
        <v>Meter0</v>
      </c>
      <c r="L598" s="29" t="str">
        <f t="shared" si="26"/>
        <v>kw3</v>
      </c>
    </row>
    <row r="599" spans="1:12" s="27" customFormat="1" hidden="1" x14ac:dyDescent="0.25">
      <c r="A599" s="25">
        <v>566</v>
      </c>
      <c r="B599" s="26" t="s">
        <v>1138</v>
      </c>
      <c r="C599" s="25" t="s">
        <v>1139</v>
      </c>
      <c r="D599" s="25" t="s">
        <v>35</v>
      </c>
      <c r="E599" s="26" t="s">
        <v>1326</v>
      </c>
      <c r="G599" s="33"/>
      <c r="H599" s="34"/>
      <c r="K599" s="29" t="str">
        <f t="shared" si="25"/>
        <v>Meter0</v>
      </c>
      <c r="L599" s="29" t="str">
        <f t="shared" si="26"/>
        <v>kva1</v>
      </c>
    </row>
    <row r="600" spans="1:12" s="27" customFormat="1" hidden="1" x14ac:dyDescent="0.25">
      <c r="A600" s="25">
        <v>567</v>
      </c>
      <c r="B600" s="26" t="s">
        <v>1140</v>
      </c>
      <c r="C600" s="25" t="s">
        <v>1141</v>
      </c>
      <c r="D600" s="25" t="s">
        <v>35</v>
      </c>
      <c r="E600" s="26" t="s">
        <v>1327</v>
      </c>
      <c r="G600" s="33"/>
      <c r="H600" s="34"/>
      <c r="K600" s="29" t="str">
        <f t="shared" si="25"/>
        <v>Meter0</v>
      </c>
      <c r="L600" s="29" t="str">
        <f t="shared" si="26"/>
        <v>kva2</v>
      </c>
    </row>
    <row r="601" spans="1:12" s="27" customFormat="1" hidden="1" x14ac:dyDescent="0.25">
      <c r="A601" s="25">
        <v>568</v>
      </c>
      <c r="B601" s="26" t="s">
        <v>1142</v>
      </c>
      <c r="C601" s="25" t="s">
        <v>1143</v>
      </c>
      <c r="D601" s="25" t="s">
        <v>35</v>
      </c>
      <c r="E601" s="26" t="s">
        <v>1328</v>
      </c>
      <c r="G601" s="33"/>
      <c r="H601" s="34"/>
      <c r="K601" s="29" t="str">
        <f t="shared" si="25"/>
        <v>Meter0</v>
      </c>
      <c r="L601" s="29" t="str">
        <f t="shared" si="26"/>
        <v>kva3</v>
      </c>
    </row>
    <row r="602" spans="1:12" s="27" customFormat="1" hidden="1" x14ac:dyDescent="0.25">
      <c r="A602" s="25">
        <v>569</v>
      </c>
      <c r="B602" s="26" t="s">
        <v>1144</v>
      </c>
      <c r="C602" s="25" t="s">
        <v>1145</v>
      </c>
      <c r="D602" s="25" t="s">
        <v>35</v>
      </c>
      <c r="E602" s="26" t="s">
        <v>1329</v>
      </c>
      <c r="G602" s="33"/>
      <c r="H602" s="34"/>
      <c r="K602" s="29" t="str">
        <f t="shared" si="25"/>
        <v>Meter0</v>
      </c>
      <c r="L602" s="29" t="str">
        <f t="shared" si="26"/>
        <v>kvar1</v>
      </c>
    </row>
    <row r="603" spans="1:12" s="27" customFormat="1" hidden="1" x14ac:dyDescent="0.25">
      <c r="A603" s="25">
        <v>570</v>
      </c>
      <c r="B603" s="26" t="s">
        <v>1146</v>
      </c>
      <c r="C603" s="25" t="s">
        <v>1147</v>
      </c>
      <c r="D603" s="25" t="s">
        <v>35</v>
      </c>
      <c r="E603" s="26" t="s">
        <v>1330</v>
      </c>
      <c r="G603" s="33"/>
      <c r="H603" s="34"/>
      <c r="K603" s="29" t="str">
        <f t="shared" si="25"/>
        <v>Meter0</v>
      </c>
      <c r="L603" s="29" t="str">
        <f t="shared" si="26"/>
        <v>kvar2</v>
      </c>
    </row>
    <row r="604" spans="1:12" s="27" customFormat="1" hidden="1" x14ac:dyDescent="0.25">
      <c r="A604" s="25">
        <v>571</v>
      </c>
      <c r="B604" s="26" t="s">
        <v>1148</v>
      </c>
      <c r="C604" s="25" t="s">
        <v>1149</v>
      </c>
      <c r="D604" s="25" t="s">
        <v>35</v>
      </c>
      <c r="E604" s="26" t="s">
        <v>1331</v>
      </c>
      <c r="G604" s="33"/>
      <c r="H604" s="34"/>
      <c r="K604" s="29" t="str">
        <f t="shared" si="25"/>
        <v>Meter0</v>
      </c>
      <c r="L604" s="29" t="str">
        <f t="shared" si="26"/>
        <v>kvar3</v>
      </c>
    </row>
    <row r="605" spans="1:12" s="27" customFormat="1" hidden="1" x14ac:dyDescent="0.25">
      <c r="A605" s="25">
        <v>572</v>
      </c>
      <c r="B605" s="26" t="s">
        <v>1150</v>
      </c>
      <c r="C605" s="25" t="s">
        <v>1151</v>
      </c>
      <c r="D605" s="25" t="s">
        <v>35</v>
      </c>
      <c r="E605" s="26" t="s">
        <v>1332</v>
      </c>
      <c r="G605" s="33"/>
      <c r="H605" s="26"/>
      <c r="K605" s="29" t="str">
        <f t="shared" si="25"/>
        <v>Meter0</v>
      </c>
      <c r="L605" s="29" t="str">
        <f t="shared" si="26"/>
        <v>total_kw</v>
      </c>
    </row>
    <row r="606" spans="1:12" s="27" customFormat="1" hidden="1" x14ac:dyDescent="0.25">
      <c r="A606" s="25">
        <v>573</v>
      </c>
      <c r="B606" s="26" t="s">
        <v>1152</v>
      </c>
      <c r="C606" s="25" t="s">
        <v>1153</v>
      </c>
      <c r="D606" s="25" t="s">
        <v>35</v>
      </c>
      <c r="E606" s="26" t="s">
        <v>1333</v>
      </c>
      <c r="G606" s="33"/>
      <c r="H606" s="34"/>
      <c r="K606" s="29" t="str">
        <f t="shared" si="25"/>
        <v>Meter0</v>
      </c>
      <c r="L606" s="29" t="str">
        <f t="shared" si="26"/>
        <v>total_kva</v>
      </c>
    </row>
    <row r="607" spans="1:12" s="27" customFormat="1" hidden="1" x14ac:dyDescent="0.25">
      <c r="A607" s="25">
        <v>574</v>
      </c>
      <c r="B607" s="26" t="s">
        <v>1154</v>
      </c>
      <c r="C607" s="25" t="s">
        <v>1155</v>
      </c>
      <c r="D607" s="25" t="s">
        <v>35</v>
      </c>
      <c r="E607" s="26" t="s">
        <v>1334</v>
      </c>
      <c r="G607" s="33"/>
      <c r="H607" s="34"/>
      <c r="K607" s="29" t="str">
        <f t="shared" si="25"/>
        <v>Meter0</v>
      </c>
      <c r="L607" s="29" t="str">
        <f t="shared" si="26"/>
        <v>total_kvar</v>
      </c>
    </row>
    <row r="608" spans="1:12" s="27" customFormat="1" hidden="1" x14ac:dyDescent="0.25">
      <c r="A608" s="25">
        <v>575</v>
      </c>
      <c r="B608" s="26" t="s">
        <v>1156</v>
      </c>
      <c r="C608" s="25" t="s">
        <v>1157</v>
      </c>
      <c r="D608" s="25" t="s">
        <v>35</v>
      </c>
      <c r="E608" s="26" t="s">
        <v>1335</v>
      </c>
      <c r="G608" s="33"/>
      <c r="H608" s="34"/>
      <c r="K608" s="29" t="str">
        <f t="shared" si="25"/>
        <v>Meter0</v>
      </c>
      <c r="L608" s="29" t="str">
        <f t="shared" si="26"/>
        <v>PF1</v>
      </c>
    </row>
    <row r="609" spans="1:12" s="27" customFormat="1" hidden="1" x14ac:dyDescent="0.25">
      <c r="A609" s="25">
        <v>576</v>
      </c>
      <c r="B609" s="26" t="s">
        <v>1158</v>
      </c>
      <c r="C609" s="25" t="s">
        <v>1159</v>
      </c>
      <c r="D609" s="25" t="s">
        <v>35</v>
      </c>
      <c r="E609" s="26" t="s">
        <v>1336</v>
      </c>
      <c r="G609" s="33"/>
      <c r="H609" s="34"/>
      <c r="K609" s="29" t="str">
        <f t="shared" si="25"/>
        <v>Meter0</v>
      </c>
      <c r="L609" s="29" t="str">
        <f t="shared" si="26"/>
        <v>PF2</v>
      </c>
    </row>
    <row r="610" spans="1:12" s="27" customFormat="1" hidden="1" x14ac:dyDescent="0.25">
      <c r="A610" s="25">
        <v>577</v>
      </c>
      <c r="B610" s="26" t="s">
        <v>1160</v>
      </c>
      <c r="C610" s="25" t="s">
        <v>1161</v>
      </c>
      <c r="D610" s="25" t="s">
        <v>35</v>
      </c>
      <c r="E610" s="26" t="s">
        <v>1337</v>
      </c>
      <c r="G610" s="33"/>
      <c r="H610" s="34"/>
      <c r="K610" s="29" t="str">
        <f t="shared" si="25"/>
        <v>Meter0</v>
      </c>
      <c r="L610" s="29" t="str">
        <f t="shared" si="26"/>
        <v>PF3</v>
      </c>
    </row>
    <row r="611" spans="1:12" s="27" customFormat="1" hidden="1" x14ac:dyDescent="0.25">
      <c r="A611" s="25">
        <v>578</v>
      </c>
      <c r="B611" s="26" t="s">
        <v>1162</v>
      </c>
      <c r="C611" s="25" t="s">
        <v>1163</v>
      </c>
      <c r="D611" s="25" t="s">
        <v>35</v>
      </c>
      <c r="E611" s="26" t="s">
        <v>1338</v>
      </c>
      <c r="G611" s="33"/>
      <c r="H611" s="26"/>
      <c r="K611" s="29" t="str">
        <f t="shared" ref="K611:K685" si="27">LEFT(B611, SEARCH("_",B611 ) - 1)</f>
        <v>Meter0</v>
      </c>
      <c r="L611" s="29" t="str">
        <f t="shared" si="26"/>
        <v>PF</v>
      </c>
    </row>
    <row r="612" spans="1:12" s="27" customFormat="1" hidden="1" x14ac:dyDescent="0.25">
      <c r="A612" s="25">
        <v>579</v>
      </c>
      <c r="B612" s="26" t="s">
        <v>1164</v>
      </c>
      <c r="C612" s="25" t="s">
        <v>1165</v>
      </c>
      <c r="D612" s="25" t="s">
        <v>35</v>
      </c>
      <c r="E612" s="26" t="s">
        <v>1339</v>
      </c>
      <c r="G612" s="33"/>
      <c r="H612" s="26"/>
      <c r="K612" s="29" t="str">
        <f t="shared" si="27"/>
        <v>Meter0</v>
      </c>
      <c r="L612" s="29" t="str">
        <f t="shared" si="26"/>
        <v>freq</v>
      </c>
    </row>
    <row r="613" spans="1:12" s="27" customFormat="1" hidden="1" x14ac:dyDescent="0.25">
      <c r="A613" s="25">
        <v>580</v>
      </c>
      <c r="B613" s="26" t="s">
        <v>1166</v>
      </c>
      <c r="C613" s="25" t="s">
        <v>1167</v>
      </c>
      <c r="D613" s="25" t="s">
        <v>35</v>
      </c>
      <c r="E613" s="26" t="s">
        <v>1340</v>
      </c>
      <c r="G613" s="33"/>
      <c r="H613" s="26"/>
      <c r="K613" s="29" t="str">
        <f t="shared" si="27"/>
        <v>Meter0</v>
      </c>
      <c r="L613" s="29" t="str">
        <f t="shared" si="26"/>
        <v>kwh</v>
      </c>
    </row>
    <row r="614" spans="1:12" s="27" customFormat="1" hidden="1" x14ac:dyDescent="0.25">
      <c r="A614" s="25">
        <v>581</v>
      </c>
      <c r="B614" s="26" t="s">
        <v>1168</v>
      </c>
      <c r="C614" s="25" t="s">
        <v>1169</v>
      </c>
      <c r="D614" s="25" t="s">
        <v>35</v>
      </c>
      <c r="E614" s="26" t="s">
        <v>1341</v>
      </c>
      <c r="G614" s="33"/>
      <c r="H614" s="34"/>
      <c r="K614" s="29" t="str">
        <f t="shared" si="27"/>
        <v>Meter0</v>
      </c>
      <c r="L614" s="29" t="str">
        <f t="shared" si="26"/>
        <v>kvah</v>
      </c>
    </row>
    <row r="615" spans="1:12" s="27" customFormat="1" hidden="1" x14ac:dyDescent="0.25">
      <c r="A615" s="25">
        <v>582</v>
      </c>
      <c r="B615" s="26" t="s">
        <v>1170</v>
      </c>
      <c r="C615" s="25" t="s">
        <v>1171</v>
      </c>
      <c r="D615" s="25" t="s">
        <v>35</v>
      </c>
      <c r="E615" s="26" t="s">
        <v>1342</v>
      </c>
      <c r="G615" s="33"/>
      <c r="H615" s="34"/>
      <c r="K615" s="29" t="str">
        <f t="shared" si="27"/>
        <v>Meter0</v>
      </c>
      <c r="L615" s="29" t="str">
        <f t="shared" si="26"/>
        <v>kvarh</v>
      </c>
    </row>
    <row r="616" spans="1:12" s="27" customFormat="1" hidden="1" x14ac:dyDescent="0.25">
      <c r="A616" s="25">
        <v>583</v>
      </c>
      <c r="B616" s="26" t="s">
        <v>1409</v>
      </c>
      <c r="C616" s="25" t="s">
        <v>1173</v>
      </c>
      <c r="D616" s="25" t="s">
        <v>7</v>
      </c>
      <c r="E616" s="26" t="s">
        <v>1359</v>
      </c>
      <c r="G616" s="28"/>
      <c r="K616" s="29" t="str">
        <f>LEFT(B616, SEARCH("_",B616 ) - 1)</f>
        <v>PrimingPump1</v>
      </c>
      <c r="L616" s="29" t="str">
        <f t="shared" ref="L616:L687" si="28">RIGHT(B616, LEN(B616)-SEARCH("_",B616 ))</f>
        <v>FB_Run</v>
      </c>
    </row>
    <row r="617" spans="1:12" s="30" customFormat="1" hidden="1" x14ac:dyDescent="0.25">
      <c r="A617" s="23">
        <v>584</v>
      </c>
      <c r="B617" s="24" t="s">
        <v>1410</v>
      </c>
      <c r="C617" s="23" t="s">
        <v>1555</v>
      </c>
      <c r="D617" s="23" t="s">
        <v>7</v>
      </c>
      <c r="E617" s="24" t="s">
        <v>1360</v>
      </c>
      <c r="G617" s="28"/>
      <c r="K617" s="31" t="str">
        <f t="shared" si="27"/>
        <v>PrimingPump1</v>
      </c>
      <c r="L617" s="31" t="str">
        <f t="shared" si="28"/>
        <v>FB_Stop</v>
      </c>
    </row>
    <row r="618" spans="1:12" s="27" customFormat="1" hidden="1" x14ac:dyDescent="0.25">
      <c r="A618" s="25">
        <v>585</v>
      </c>
      <c r="B618" s="26" t="s">
        <v>1411</v>
      </c>
      <c r="C618" s="25" t="s">
        <v>1177</v>
      </c>
      <c r="D618" s="25" t="s">
        <v>7</v>
      </c>
      <c r="E618" s="26" t="s">
        <v>1361</v>
      </c>
      <c r="G618" s="28"/>
      <c r="K618" s="29" t="str">
        <f t="shared" si="27"/>
        <v>PrimingPump1</v>
      </c>
      <c r="L618" s="29" t="str">
        <f t="shared" si="28"/>
        <v>FB_Fault</v>
      </c>
    </row>
    <row r="619" spans="1:12" s="30" customFormat="1" hidden="1" x14ac:dyDescent="0.25">
      <c r="A619" s="23">
        <v>543</v>
      </c>
      <c r="B619" s="24" t="s">
        <v>1608</v>
      </c>
      <c r="C619" s="23" t="s">
        <v>1611</v>
      </c>
      <c r="D619" s="23" t="s">
        <v>7</v>
      </c>
      <c r="E619" s="24" t="s">
        <v>1344</v>
      </c>
      <c r="G619" s="28"/>
      <c r="K619" s="31" t="str">
        <f t="shared" si="27"/>
        <v>PrimingPump1</v>
      </c>
      <c r="L619" s="31" t="str">
        <f t="shared" si="28"/>
        <v>Ctrl_PB_Run</v>
      </c>
    </row>
    <row r="620" spans="1:12" s="30" customFormat="1" hidden="1" x14ac:dyDescent="0.25">
      <c r="A620" s="23">
        <v>544</v>
      </c>
      <c r="B620" s="24" t="s">
        <v>1609</v>
      </c>
      <c r="C620" s="23" t="s">
        <v>1612</v>
      </c>
      <c r="D620" s="23" t="s">
        <v>7</v>
      </c>
      <c r="E620" s="24" t="s">
        <v>1345</v>
      </c>
      <c r="G620" s="28"/>
      <c r="K620" s="31" t="str">
        <f t="shared" si="27"/>
        <v>PrimingPump1</v>
      </c>
      <c r="L620" s="31" t="str">
        <f t="shared" si="28"/>
        <v>Ctrl_PB_Stop</v>
      </c>
    </row>
    <row r="621" spans="1:12" s="30" customFormat="1" hidden="1" x14ac:dyDescent="0.25">
      <c r="A621" s="23">
        <v>545</v>
      </c>
      <c r="B621" s="24" t="s">
        <v>1610</v>
      </c>
      <c r="C621" s="23" t="s">
        <v>1613</v>
      </c>
      <c r="D621" s="23" t="s">
        <v>7</v>
      </c>
      <c r="E621" s="24" t="s">
        <v>1346</v>
      </c>
      <c r="G621" s="28"/>
      <c r="K621" s="31" t="str">
        <f t="shared" si="27"/>
        <v>PrimingPump1</v>
      </c>
      <c r="L621" s="31" t="str">
        <f t="shared" si="28"/>
        <v>Ctrl_PB_RST</v>
      </c>
    </row>
    <row r="622" spans="1:12" s="30" customFormat="1" hidden="1" x14ac:dyDescent="0.25">
      <c r="A622" s="23">
        <v>50</v>
      </c>
      <c r="B622" s="24" t="s">
        <v>1602</v>
      </c>
      <c r="C622" s="23" t="s">
        <v>1600</v>
      </c>
      <c r="D622" s="23" t="s">
        <v>7</v>
      </c>
      <c r="E622" s="24" t="s">
        <v>1558</v>
      </c>
      <c r="G622" s="28"/>
      <c r="K622" s="31" t="str">
        <f t="shared" si="27"/>
        <v>PrimingPump1</v>
      </c>
      <c r="L622" s="31" t="str">
        <f t="shared" si="28"/>
        <v>Ctrl_PB_Maintenance</v>
      </c>
    </row>
    <row r="623" spans="1:12" s="30" customFormat="1" hidden="1" x14ac:dyDescent="0.25">
      <c r="A623" s="23">
        <v>50</v>
      </c>
      <c r="B623" s="24" t="s">
        <v>1603</v>
      </c>
      <c r="C623" s="23" t="s">
        <v>1601</v>
      </c>
      <c r="D623" s="23" t="s">
        <v>7</v>
      </c>
      <c r="E623" s="24" t="s">
        <v>1559</v>
      </c>
      <c r="G623" s="28"/>
      <c r="H623" s="30" t="s">
        <v>1563</v>
      </c>
      <c r="K623" s="31" t="str">
        <f t="shared" si="27"/>
        <v>PrimingPump1</v>
      </c>
      <c r="L623" s="31" t="str">
        <f t="shared" si="28"/>
        <v>FB_Maintenance</v>
      </c>
    </row>
    <row r="624" spans="1:12" s="27" customFormat="1" hidden="1" x14ac:dyDescent="0.25">
      <c r="A624" s="25">
        <v>586</v>
      </c>
      <c r="B624" s="26" t="s">
        <v>1413</v>
      </c>
      <c r="C624" s="25" t="s">
        <v>1179</v>
      </c>
      <c r="D624" s="25" t="s">
        <v>7</v>
      </c>
      <c r="E624" s="26" t="s">
        <v>1362</v>
      </c>
      <c r="G624" s="28"/>
      <c r="K624" s="29" t="str">
        <f t="shared" si="27"/>
        <v>PrimingPump2</v>
      </c>
      <c r="L624" s="29" t="str">
        <f t="shared" si="28"/>
        <v>FB_Run</v>
      </c>
    </row>
    <row r="625" spans="1:12" s="30" customFormat="1" hidden="1" x14ac:dyDescent="0.25">
      <c r="A625" s="23">
        <v>587</v>
      </c>
      <c r="B625" s="24" t="s">
        <v>1414</v>
      </c>
      <c r="C625" s="23" t="s">
        <v>1556</v>
      </c>
      <c r="D625" s="23" t="s">
        <v>7</v>
      </c>
      <c r="E625" s="24" t="s">
        <v>1363</v>
      </c>
      <c r="G625" s="28"/>
      <c r="K625" s="31" t="str">
        <f t="shared" si="27"/>
        <v>PrimingPump2</v>
      </c>
      <c r="L625" s="31" t="str">
        <f t="shared" si="28"/>
        <v>FB_Stop</v>
      </c>
    </row>
    <row r="626" spans="1:12" s="27" customFormat="1" hidden="1" x14ac:dyDescent="0.25">
      <c r="A626" s="25">
        <v>588</v>
      </c>
      <c r="B626" s="26" t="s">
        <v>1415</v>
      </c>
      <c r="C626" s="25" t="s">
        <v>1183</v>
      </c>
      <c r="D626" s="25" t="s">
        <v>7</v>
      </c>
      <c r="E626" s="26" t="s">
        <v>1364</v>
      </c>
      <c r="G626" s="28"/>
      <c r="K626" s="29" t="str">
        <f t="shared" si="27"/>
        <v>PrimingPump2</v>
      </c>
      <c r="L626" s="29" t="str">
        <f t="shared" si="28"/>
        <v>FB_Fault</v>
      </c>
    </row>
    <row r="627" spans="1:12" s="30" customFormat="1" hidden="1" x14ac:dyDescent="0.25">
      <c r="A627" s="23">
        <v>543</v>
      </c>
      <c r="B627" s="24" t="s">
        <v>1614</v>
      </c>
      <c r="C627" s="23" t="s">
        <v>1617</v>
      </c>
      <c r="D627" s="23" t="s">
        <v>7</v>
      </c>
      <c r="E627" s="24" t="s">
        <v>1344</v>
      </c>
      <c r="G627" s="28"/>
      <c r="K627" s="31" t="str">
        <f t="shared" ref="K627:K629" si="29">LEFT(B627, SEARCH("_",B627 ) - 1)</f>
        <v>PrimingPump2</v>
      </c>
      <c r="L627" s="31" t="str">
        <f t="shared" ref="L627:L629" si="30">RIGHT(B627, LEN(B627)-SEARCH("_",B627 ))</f>
        <v>Ctrl_PB_Run</v>
      </c>
    </row>
    <row r="628" spans="1:12" s="30" customFormat="1" hidden="1" x14ac:dyDescent="0.25">
      <c r="A628" s="23">
        <v>544</v>
      </c>
      <c r="B628" s="24" t="s">
        <v>1615</v>
      </c>
      <c r="C628" s="23" t="s">
        <v>1618</v>
      </c>
      <c r="D628" s="23" t="s">
        <v>7</v>
      </c>
      <c r="E628" s="24" t="s">
        <v>1345</v>
      </c>
      <c r="G628" s="28"/>
      <c r="K628" s="31" t="str">
        <f t="shared" si="29"/>
        <v>PrimingPump2</v>
      </c>
      <c r="L628" s="31" t="str">
        <f t="shared" si="30"/>
        <v>Ctrl_PB_Stop</v>
      </c>
    </row>
    <row r="629" spans="1:12" s="30" customFormat="1" hidden="1" x14ac:dyDescent="0.25">
      <c r="A629" s="23">
        <v>545</v>
      </c>
      <c r="B629" s="24" t="s">
        <v>1616</v>
      </c>
      <c r="C629" s="23" t="s">
        <v>1619</v>
      </c>
      <c r="D629" s="23" t="s">
        <v>7</v>
      </c>
      <c r="E629" s="24" t="s">
        <v>1346</v>
      </c>
      <c r="G629" s="28"/>
      <c r="K629" s="31" t="str">
        <f t="shared" si="29"/>
        <v>PrimingPump2</v>
      </c>
      <c r="L629" s="31" t="str">
        <f t="shared" si="30"/>
        <v>Ctrl_PB_RST</v>
      </c>
    </row>
    <row r="630" spans="1:12" s="30" customFormat="1" hidden="1" x14ac:dyDescent="0.25">
      <c r="A630" s="23">
        <v>50</v>
      </c>
      <c r="B630" s="24" t="s">
        <v>1606</v>
      </c>
      <c r="C630" s="23" t="s">
        <v>1604</v>
      </c>
      <c r="D630" s="23" t="s">
        <v>7</v>
      </c>
      <c r="E630" s="24" t="s">
        <v>1558</v>
      </c>
      <c r="G630" s="28"/>
      <c r="K630" s="31" t="str">
        <f t="shared" ref="K630:K631" si="31">LEFT(B630, SEARCH("_",B630 ) - 1)</f>
        <v>PrimingPump2</v>
      </c>
      <c r="L630" s="31" t="str">
        <f t="shared" ref="L630:L631" si="32">RIGHT(B630, LEN(B630)-SEARCH("_",B630 ))</f>
        <v>Ctrl_PB_Maintenance</v>
      </c>
    </row>
    <row r="631" spans="1:12" s="30" customFormat="1" hidden="1" x14ac:dyDescent="0.25">
      <c r="A631" s="23">
        <v>50</v>
      </c>
      <c r="B631" s="24" t="s">
        <v>1607</v>
      </c>
      <c r="C631" s="23" t="s">
        <v>1605</v>
      </c>
      <c r="D631" s="23" t="s">
        <v>7</v>
      </c>
      <c r="E631" s="24" t="s">
        <v>1559</v>
      </c>
      <c r="G631" s="28"/>
      <c r="H631" s="30" t="s">
        <v>1563</v>
      </c>
      <c r="K631" s="31" t="str">
        <f t="shared" si="31"/>
        <v>PrimingPump2</v>
      </c>
      <c r="L631" s="31" t="str">
        <f t="shared" si="32"/>
        <v>FB_Maintenance</v>
      </c>
    </row>
    <row r="632" spans="1:12" s="27" customFormat="1" hidden="1" x14ac:dyDescent="0.25">
      <c r="A632" s="25">
        <v>589</v>
      </c>
      <c r="B632" s="26" t="s">
        <v>1184</v>
      </c>
      <c r="C632" s="25" t="s">
        <v>1185</v>
      </c>
      <c r="D632" s="25" t="s">
        <v>35</v>
      </c>
      <c r="E632" s="26" t="s">
        <v>1365</v>
      </c>
      <c r="G632" s="27" t="s">
        <v>1510</v>
      </c>
      <c r="H632" s="27" t="s">
        <v>1519</v>
      </c>
      <c r="K632" s="29" t="str">
        <f t="shared" si="27"/>
        <v>Level</v>
      </c>
      <c r="L632" s="29" t="str">
        <f t="shared" si="28"/>
        <v>River</v>
      </c>
    </row>
    <row r="633" spans="1:12" s="27" customFormat="1" hidden="1" x14ac:dyDescent="0.25">
      <c r="A633" s="25">
        <v>590</v>
      </c>
      <c r="B633" s="26" t="s">
        <v>1186</v>
      </c>
      <c r="C633" s="25" t="s">
        <v>1187</v>
      </c>
      <c r="D633" s="25" t="s">
        <v>35</v>
      </c>
      <c r="E633" s="26" t="s">
        <v>1366</v>
      </c>
      <c r="H633" s="27" t="s">
        <v>1520</v>
      </c>
      <c r="K633" s="29" t="str">
        <f t="shared" si="27"/>
        <v>Level</v>
      </c>
      <c r="L633" s="29" t="str">
        <f t="shared" si="28"/>
        <v>Discharge1</v>
      </c>
    </row>
    <row r="634" spans="1:12" s="27" customFormat="1" hidden="1" x14ac:dyDescent="0.25">
      <c r="A634" s="25">
        <v>600</v>
      </c>
      <c r="B634" s="26" t="s">
        <v>1206</v>
      </c>
      <c r="C634" s="25" t="s">
        <v>1207</v>
      </c>
      <c r="D634" s="25" t="s">
        <v>24</v>
      </c>
      <c r="E634" s="26" t="s">
        <v>1376</v>
      </c>
      <c r="G634" s="28" t="s">
        <v>1489</v>
      </c>
      <c r="H634" s="27" t="s">
        <v>1511</v>
      </c>
      <c r="K634" s="29" t="str">
        <f t="shared" si="27"/>
        <v>Pump1</v>
      </c>
      <c r="L634" s="29" t="str">
        <f t="shared" si="28"/>
        <v>Set_tempA</v>
      </c>
    </row>
    <row r="635" spans="1:12" s="27" customFormat="1" hidden="1" x14ac:dyDescent="0.25">
      <c r="A635" s="25">
        <v>601</v>
      </c>
      <c r="B635" s="26" t="s">
        <v>1208</v>
      </c>
      <c r="C635" s="25" t="s">
        <v>1209</v>
      </c>
      <c r="D635" s="25" t="s">
        <v>24</v>
      </c>
      <c r="E635" s="26" t="s">
        <v>1377</v>
      </c>
      <c r="G635" s="28"/>
      <c r="H635" s="27" t="s">
        <v>1512</v>
      </c>
      <c r="K635" s="29" t="str">
        <f t="shared" si="27"/>
        <v>Pump1</v>
      </c>
      <c r="L635" s="29" t="str">
        <f t="shared" si="28"/>
        <v>Set_tempB</v>
      </c>
    </row>
    <row r="636" spans="1:12" s="27" customFormat="1" hidden="1" x14ac:dyDescent="0.25">
      <c r="A636" s="25">
        <v>602</v>
      </c>
      <c r="B636" s="26" t="s">
        <v>1210</v>
      </c>
      <c r="C636" s="25" t="s">
        <v>1211</v>
      </c>
      <c r="D636" s="25" t="s">
        <v>24</v>
      </c>
      <c r="E636" s="26" t="s">
        <v>1378</v>
      </c>
      <c r="G636" s="28"/>
      <c r="H636" s="27" t="s">
        <v>1513</v>
      </c>
      <c r="K636" s="29" t="str">
        <f t="shared" si="27"/>
        <v>Pump1</v>
      </c>
      <c r="L636" s="29" t="str">
        <f t="shared" si="28"/>
        <v>Set_tempC</v>
      </c>
    </row>
    <row r="637" spans="1:12" s="27" customFormat="1" hidden="1" x14ac:dyDescent="0.25">
      <c r="A637" s="25">
        <v>603</v>
      </c>
      <c r="B637" s="26" t="s">
        <v>1212</v>
      </c>
      <c r="C637" s="25" t="s">
        <v>1213</v>
      </c>
      <c r="D637" s="25" t="s">
        <v>24</v>
      </c>
      <c r="E637" s="26" t="s">
        <v>1379</v>
      </c>
      <c r="G637" s="28"/>
      <c r="H637" s="27" t="s">
        <v>1514</v>
      </c>
      <c r="K637" s="29" t="str">
        <f t="shared" si="27"/>
        <v>Pump1</v>
      </c>
      <c r="L637" s="29" t="str">
        <f t="shared" si="28"/>
        <v>Set_tempDE</v>
      </c>
    </row>
    <row r="638" spans="1:12" s="27" customFormat="1" hidden="1" x14ac:dyDescent="0.25">
      <c r="A638" s="25">
        <v>604</v>
      </c>
      <c r="B638" s="26" t="s">
        <v>1214</v>
      </c>
      <c r="C638" s="25" t="s">
        <v>1215</v>
      </c>
      <c r="D638" s="25" t="s">
        <v>24</v>
      </c>
      <c r="E638" s="26" t="s">
        <v>1380</v>
      </c>
      <c r="G638" s="28"/>
      <c r="H638" s="27" t="s">
        <v>1515</v>
      </c>
      <c r="K638" s="29" t="str">
        <f t="shared" si="27"/>
        <v>Pump1</v>
      </c>
      <c r="L638" s="29" t="str">
        <f t="shared" si="28"/>
        <v>Set_tempNDE</v>
      </c>
    </row>
    <row r="639" spans="1:12" s="27" customFormat="1" hidden="1" x14ac:dyDescent="0.25">
      <c r="A639" s="25">
        <v>605</v>
      </c>
      <c r="B639" s="26" t="s">
        <v>1216</v>
      </c>
      <c r="C639" s="25" t="s">
        <v>1217</v>
      </c>
      <c r="D639" s="25" t="s">
        <v>24</v>
      </c>
      <c r="E639" s="26" t="s">
        <v>1376</v>
      </c>
      <c r="G639" s="28" t="s">
        <v>1490</v>
      </c>
      <c r="H639" s="27" t="s">
        <v>1511</v>
      </c>
      <c r="K639" s="29" t="str">
        <f t="shared" si="27"/>
        <v>Pump2</v>
      </c>
      <c r="L639" s="29" t="str">
        <f t="shared" si="28"/>
        <v>Set_tempA</v>
      </c>
    </row>
    <row r="640" spans="1:12" s="27" customFormat="1" hidden="1" x14ac:dyDescent="0.25">
      <c r="A640" s="25">
        <v>606</v>
      </c>
      <c r="B640" s="26" t="s">
        <v>1218</v>
      </c>
      <c r="C640" s="25" t="s">
        <v>1219</v>
      </c>
      <c r="D640" s="25" t="s">
        <v>24</v>
      </c>
      <c r="E640" s="26" t="s">
        <v>1377</v>
      </c>
      <c r="G640" s="28"/>
      <c r="H640" s="27" t="s">
        <v>1512</v>
      </c>
      <c r="K640" s="29" t="str">
        <f t="shared" si="27"/>
        <v>Pump2</v>
      </c>
      <c r="L640" s="29" t="str">
        <f t="shared" si="28"/>
        <v>Set_tempB</v>
      </c>
    </row>
    <row r="641" spans="1:12" s="27" customFormat="1" hidden="1" x14ac:dyDescent="0.25">
      <c r="A641" s="25">
        <v>607</v>
      </c>
      <c r="B641" s="26" t="s">
        <v>1220</v>
      </c>
      <c r="C641" s="25" t="s">
        <v>1221</v>
      </c>
      <c r="D641" s="25" t="s">
        <v>24</v>
      </c>
      <c r="E641" s="26" t="s">
        <v>1378</v>
      </c>
      <c r="G641" s="28"/>
      <c r="H641" s="27" t="s">
        <v>1513</v>
      </c>
      <c r="K641" s="29" t="str">
        <f t="shared" si="27"/>
        <v>Pump2</v>
      </c>
      <c r="L641" s="29" t="str">
        <f t="shared" si="28"/>
        <v>Set_tempC</v>
      </c>
    </row>
    <row r="642" spans="1:12" s="27" customFormat="1" hidden="1" x14ac:dyDescent="0.25">
      <c r="A642" s="25">
        <v>608</v>
      </c>
      <c r="B642" s="26" t="s">
        <v>1222</v>
      </c>
      <c r="C642" s="25" t="s">
        <v>1223</v>
      </c>
      <c r="D642" s="25" t="s">
        <v>24</v>
      </c>
      <c r="E642" s="26" t="s">
        <v>1379</v>
      </c>
      <c r="G642" s="28"/>
      <c r="H642" s="27" t="s">
        <v>1514</v>
      </c>
      <c r="K642" s="29" t="str">
        <f t="shared" si="27"/>
        <v>Pump2</v>
      </c>
      <c r="L642" s="29" t="str">
        <f t="shared" si="28"/>
        <v>Set_tempDE</v>
      </c>
    </row>
    <row r="643" spans="1:12" s="27" customFormat="1" hidden="1" x14ac:dyDescent="0.25">
      <c r="A643" s="25">
        <v>609</v>
      </c>
      <c r="B643" s="26" t="s">
        <v>1224</v>
      </c>
      <c r="C643" s="25" t="s">
        <v>1225</v>
      </c>
      <c r="D643" s="25" t="s">
        <v>24</v>
      </c>
      <c r="E643" s="26" t="s">
        <v>1380</v>
      </c>
      <c r="G643" s="28"/>
      <c r="H643" s="27" t="s">
        <v>1515</v>
      </c>
      <c r="K643" s="29" t="str">
        <f t="shared" si="27"/>
        <v>Pump2</v>
      </c>
      <c r="L643" s="29" t="str">
        <f t="shared" si="28"/>
        <v>Set_tempNDE</v>
      </c>
    </row>
    <row r="644" spans="1:12" s="27" customFormat="1" hidden="1" x14ac:dyDescent="0.25">
      <c r="A644" s="25">
        <v>610</v>
      </c>
      <c r="B644" s="26" t="s">
        <v>1226</v>
      </c>
      <c r="C644" s="25" t="s">
        <v>1227</v>
      </c>
      <c r="D644" s="25" t="s">
        <v>24</v>
      </c>
      <c r="E644" s="26" t="s">
        <v>1376</v>
      </c>
      <c r="G644" s="28" t="s">
        <v>1491</v>
      </c>
      <c r="H644" s="27" t="s">
        <v>1511</v>
      </c>
      <c r="K644" s="29" t="str">
        <f t="shared" si="27"/>
        <v>Pump3</v>
      </c>
      <c r="L644" s="29" t="str">
        <f t="shared" si="28"/>
        <v>Set_tempA</v>
      </c>
    </row>
    <row r="645" spans="1:12" s="27" customFormat="1" hidden="1" x14ac:dyDescent="0.25">
      <c r="A645" s="25">
        <v>611</v>
      </c>
      <c r="B645" s="26" t="s">
        <v>1228</v>
      </c>
      <c r="C645" s="25" t="s">
        <v>1229</v>
      </c>
      <c r="D645" s="25" t="s">
        <v>24</v>
      </c>
      <c r="E645" s="26" t="s">
        <v>1377</v>
      </c>
      <c r="G645" s="28"/>
      <c r="H645" s="27" t="s">
        <v>1512</v>
      </c>
      <c r="K645" s="29" t="str">
        <f t="shared" si="27"/>
        <v>Pump3</v>
      </c>
      <c r="L645" s="29" t="str">
        <f t="shared" si="28"/>
        <v>Set_tempB</v>
      </c>
    </row>
    <row r="646" spans="1:12" s="27" customFormat="1" hidden="1" x14ac:dyDescent="0.25">
      <c r="A646" s="25">
        <v>612</v>
      </c>
      <c r="B646" s="26" t="s">
        <v>1230</v>
      </c>
      <c r="C646" s="25" t="s">
        <v>1231</v>
      </c>
      <c r="D646" s="25" t="s">
        <v>24</v>
      </c>
      <c r="E646" s="26" t="s">
        <v>1378</v>
      </c>
      <c r="G646" s="28"/>
      <c r="H646" s="27" t="s">
        <v>1513</v>
      </c>
      <c r="K646" s="29" t="str">
        <f t="shared" si="27"/>
        <v>Pump3</v>
      </c>
      <c r="L646" s="29" t="str">
        <f t="shared" si="28"/>
        <v>Set_tempC</v>
      </c>
    </row>
    <row r="647" spans="1:12" s="27" customFormat="1" hidden="1" x14ac:dyDescent="0.25">
      <c r="A647" s="25">
        <v>613</v>
      </c>
      <c r="B647" s="26" t="s">
        <v>1232</v>
      </c>
      <c r="C647" s="25" t="s">
        <v>1233</v>
      </c>
      <c r="D647" s="25" t="s">
        <v>24</v>
      </c>
      <c r="E647" s="26" t="s">
        <v>1379</v>
      </c>
      <c r="G647" s="28"/>
      <c r="H647" s="27" t="s">
        <v>1514</v>
      </c>
      <c r="K647" s="29" t="str">
        <f t="shared" si="27"/>
        <v>Pump3</v>
      </c>
      <c r="L647" s="29" t="str">
        <f t="shared" si="28"/>
        <v>Set_tempDE</v>
      </c>
    </row>
    <row r="648" spans="1:12" s="27" customFormat="1" hidden="1" x14ac:dyDescent="0.25">
      <c r="A648" s="25">
        <v>614</v>
      </c>
      <c r="B648" s="26" t="s">
        <v>1234</v>
      </c>
      <c r="C648" s="25" t="s">
        <v>1235</v>
      </c>
      <c r="D648" s="25" t="s">
        <v>24</v>
      </c>
      <c r="E648" s="26" t="s">
        <v>1380</v>
      </c>
      <c r="G648" s="28"/>
      <c r="H648" s="27" t="s">
        <v>1515</v>
      </c>
      <c r="K648" s="29" t="str">
        <f t="shared" si="27"/>
        <v>Pump3</v>
      </c>
      <c r="L648" s="29" t="str">
        <f t="shared" si="28"/>
        <v>Set_tempNDE</v>
      </c>
    </row>
    <row r="649" spans="1:12" s="27" customFormat="1" hidden="1" x14ac:dyDescent="0.25">
      <c r="A649" s="25">
        <v>615</v>
      </c>
      <c r="B649" s="26" t="s">
        <v>1236</v>
      </c>
      <c r="C649" s="25" t="s">
        <v>1237</v>
      </c>
      <c r="D649" s="25" t="s">
        <v>24</v>
      </c>
      <c r="E649" s="26" t="s">
        <v>1376</v>
      </c>
      <c r="G649" s="28" t="s">
        <v>1492</v>
      </c>
      <c r="H649" s="27" t="s">
        <v>1511</v>
      </c>
      <c r="K649" s="29" t="str">
        <f t="shared" si="27"/>
        <v>Pump4</v>
      </c>
      <c r="L649" s="29" t="str">
        <f t="shared" si="28"/>
        <v>Set_tempA</v>
      </c>
    </row>
    <row r="650" spans="1:12" s="27" customFormat="1" hidden="1" x14ac:dyDescent="0.25">
      <c r="A650" s="25">
        <v>616</v>
      </c>
      <c r="B650" s="26" t="s">
        <v>1238</v>
      </c>
      <c r="C650" s="25" t="s">
        <v>1239</v>
      </c>
      <c r="D650" s="25" t="s">
        <v>24</v>
      </c>
      <c r="E650" s="26" t="s">
        <v>1377</v>
      </c>
      <c r="G650" s="28"/>
      <c r="H650" s="27" t="s">
        <v>1512</v>
      </c>
      <c r="K650" s="29" t="str">
        <f t="shared" si="27"/>
        <v>Pump4</v>
      </c>
      <c r="L650" s="29" t="str">
        <f t="shared" si="28"/>
        <v>Set_tempB</v>
      </c>
    </row>
    <row r="651" spans="1:12" s="27" customFormat="1" hidden="1" x14ac:dyDescent="0.25">
      <c r="A651" s="25">
        <v>617</v>
      </c>
      <c r="B651" s="26" t="s">
        <v>1240</v>
      </c>
      <c r="C651" s="25" t="s">
        <v>1241</v>
      </c>
      <c r="D651" s="25" t="s">
        <v>24</v>
      </c>
      <c r="E651" s="26" t="s">
        <v>1378</v>
      </c>
      <c r="G651" s="28"/>
      <c r="H651" s="27" t="s">
        <v>1513</v>
      </c>
      <c r="K651" s="29" t="str">
        <f t="shared" si="27"/>
        <v>Pump4</v>
      </c>
      <c r="L651" s="29" t="str">
        <f t="shared" si="28"/>
        <v>Set_tempC</v>
      </c>
    </row>
    <row r="652" spans="1:12" s="27" customFormat="1" hidden="1" x14ac:dyDescent="0.25">
      <c r="A652" s="25">
        <v>618</v>
      </c>
      <c r="B652" s="26" t="s">
        <v>1242</v>
      </c>
      <c r="C652" s="25" t="s">
        <v>1243</v>
      </c>
      <c r="D652" s="25" t="s">
        <v>24</v>
      </c>
      <c r="E652" s="26" t="s">
        <v>1379</v>
      </c>
      <c r="G652" s="28"/>
      <c r="H652" s="27" t="s">
        <v>1514</v>
      </c>
      <c r="K652" s="29" t="str">
        <f t="shared" si="27"/>
        <v>Pump4</v>
      </c>
      <c r="L652" s="29" t="str">
        <f t="shared" si="28"/>
        <v>Set_tempDE</v>
      </c>
    </row>
    <row r="653" spans="1:12" s="27" customFormat="1" hidden="1" x14ac:dyDescent="0.25">
      <c r="A653" s="25">
        <v>619</v>
      </c>
      <c r="B653" s="26" t="s">
        <v>1244</v>
      </c>
      <c r="C653" s="25" t="s">
        <v>1245</v>
      </c>
      <c r="D653" s="25" t="s">
        <v>24</v>
      </c>
      <c r="E653" s="26" t="s">
        <v>1380</v>
      </c>
      <c r="G653" s="28"/>
      <c r="H653" s="27" t="s">
        <v>1515</v>
      </c>
      <c r="K653" s="29" t="str">
        <f t="shared" si="27"/>
        <v>Pump4</v>
      </c>
      <c r="L653" s="29" t="str">
        <f t="shared" si="28"/>
        <v>Set_tempNDE</v>
      </c>
    </row>
    <row r="654" spans="1:12" s="27" customFormat="1" hidden="1" x14ac:dyDescent="0.25">
      <c r="A654" s="25">
        <v>620</v>
      </c>
      <c r="B654" s="26" t="s">
        <v>1246</v>
      </c>
      <c r="C654" s="25" t="s">
        <v>1247</v>
      </c>
      <c r="D654" s="25" t="s">
        <v>24</v>
      </c>
      <c r="E654" s="26" t="s">
        <v>1376</v>
      </c>
      <c r="G654" s="28" t="s">
        <v>1493</v>
      </c>
      <c r="H654" s="27" t="s">
        <v>1511</v>
      </c>
      <c r="K654" s="29" t="str">
        <f t="shared" si="27"/>
        <v>Pump5</v>
      </c>
      <c r="L654" s="29" t="str">
        <f t="shared" si="28"/>
        <v>Set_tempA</v>
      </c>
    </row>
    <row r="655" spans="1:12" s="27" customFormat="1" hidden="1" x14ac:dyDescent="0.25">
      <c r="A655" s="25">
        <v>621</v>
      </c>
      <c r="B655" s="26" t="s">
        <v>1248</v>
      </c>
      <c r="C655" s="25" t="s">
        <v>1249</v>
      </c>
      <c r="D655" s="25" t="s">
        <v>24</v>
      </c>
      <c r="E655" s="26" t="s">
        <v>1377</v>
      </c>
      <c r="G655" s="28"/>
      <c r="H655" s="27" t="s">
        <v>1512</v>
      </c>
      <c r="K655" s="29" t="str">
        <f t="shared" si="27"/>
        <v>Pump5</v>
      </c>
      <c r="L655" s="29" t="str">
        <f t="shared" si="28"/>
        <v>Set_tempB</v>
      </c>
    </row>
    <row r="656" spans="1:12" s="27" customFormat="1" hidden="1" x14ac:dyDescent="0.25">
      <c r="A656" s="25">
        <v>622</v>
      </c>
      <c r="B656" s="26" t="s">
        <v>1250</v>
      </c>
      <c r="C656" s="25" t="s">
        <v>1251</v>
      </c>
      <c r="D656" s="25" t="s">
        <v>24</v>
      </c>
      <c r="E656" s="26" t="s">
        <v>1378</v>
      </c>
      <c r="G656" s="28"/>
      <c r="H656" s="27" t="s">
        <v>1513</v>
      </c>
      <c r="K656" s="29" t="str">
        <f t="shared" si="27"/>
        <v>Pump5</v>
      </c>
      <c r="L656" s="29" t="str">
        <f t="shared" si="28"/>
        <v>Set_tempC</v>
      </c>
    </row>
    <row r="657" spans="1:12" s="27" customFormat="1" hidden="1" x14ac:dyDescent="0.25">
      <c r="A657" s="25">
        <v>623</v>
      </c>
      <c r="B657" s="26" t="s">
        <v>1252</v>
      </c>
      <c r="C657" s="25" t="s">
        <v>1253</v>
      </c>
      <c r="D657" s="25" t="s">
        <v>24</v>
      </c>
      <c r="E657" s="26" t="s">
        <v>1379</v>
      </c>
      <c r="G657" s="28"/>
      <c r="H657" s="27" t="s">
        <v>1514</v>
      </c>
      <c r="K657" s="29" t="str">
        <f t="shared" si="27"/>
        <v>Pump5</v>
      </c>
      <c r="L657" s="29" t="str">
        <f t="shared" si="28"/>
        <v>Set_tempDE</v>
      </c>
    </row>
    <row r="658" spans="1:12" s="27" customFormat="1" hidden="1" x14ac:dyDescent="0.25">
      <c r="A658" s="25">
        <v>624</v>
      </c>
      <c r="B658" s="26" t="s">
        <v>1254</v>
      </c>
      <c r="C658" s="25" t="s">
        <v>1255</v>
      </c>
      <c r="D658" s="25" t="s">
        <v>24</v>
      </c>
      <c r="E658" s="26" t="s">
        <v>1380</v>
      </c>
      <c r="G658" s="28"/>
      <c r="H658" s="27" t="s">
        <v>1515</v>
      </c>
      <c r="K658" s="29" t="str">
        <f t="shared" si="27"/>
        <v>Pump5</v>
      </c>
      <c r="L658" s="29" t="str">
        <f t="shared" si="28"/>
        <v>Set_tempNDE</v>
      </c>
    </row>
    <row r="659" spans="1:12" s="27" customFormat="1" hidden="1" x14ac:dyDescent="0.25">
      <c r="A659" s="25">
        <v>625</v>
      </c>
      <c r="B659" s="26" t="s">
        <v>1256</v>
      </c>
      <c r="C659" s="25" t="s">
        <v>1257</v>
      </c>
      <c r="D659" s="25" t="s">
        <v>24</v>
      </c>
      <c r="E659" s="26" t="s">
        <v>1376</v>
      </c>
      <c r="G659" s="28" t="s">
        <v>1500</v>
      </c>
      <c r="H659" s="27" t="s">
        <v>1511</v>
      </c>
      <c r="K659" s="29" t="str">
        <f t="shared" si="27"/>
        <v>Pump6</v>
      </c>
      <c r="L659" s="29" t="str">
        <f t="shared" si="28"/>
        <v>Set_tempA</v>
      </c>
    </row>
    <row r="660" spans="1:12" s="27" customFormat="1" hidden="1" x14ac:dyDescent="0.25">
      <c r="A660" s="25">
        <v>626</v>
      </c>
      <c r="B660" s="26" t="s">
        <v>1258</v>
      </c>
      <c r="C660" s="25" t="s">
        <v>1259</v>
      </c>
      <c r="D660" s="25" t="s">
        <v>24</v>
      </c>
      <c r="E660" s="26" t="s">
        <v>1377</v>
      </c>
      <c r="G660" s="28"/>
      <c r="H660" s="27" t="s">
        <v>1512</v>
      </c>
      <c r="K660" s="29" t="str">
        <f t="shared" si="27"/>
        <v>Pump6</v>
      </c>
      <c r="L660" s="29" t="str">
        <f t="shared" si="28"/>
        <v>Set_tempB</v>
      </c>
    </row>
    <row r="661" spans="1:12" s="27" customFormat="1" hidden="1" x14ac:dyDescent="0.25">
      <c r="A661" s="25">
        <v>627</v>
      </c>
      <c r="B661" s="26" t="s">
        <v>1260</v>
      </c>
      <c r="C661" s="25" t="s">
        <v>1261</v>
      </c>
      <c r="D661" s="25" t="s">
        <v>24</v>
      </c>
      <c r="E661" s="26" t="s">
        <v>1378</v>
      </c>
      <c r="G661" s="28"/>
      <c r="H661" s="27" t="s">
        <v>1513</v>
      </c>
      <c r="K661" s="29" t="str">
        <f t="shared" si="27"/>
        <v>Pump6</v>
      </c>
      <c r="L661" s="29" t="str">
        <f t="shared" si="28"/>
        <v>Set_tempC</v>
      </c>
    </row>
    <row r="662" spans="1:12" s="27" customFormat="1" hidden="1" x14ac:dyDescent="0.25">
      <c r="A662" s="25">
        <v>628</v>
      </c>
      <c r="B662" s="26" t="s">
        <v>1262</v>
      </c>
      <c r="C662" s="25" t="s">
        <v>1263</v>
      </c>
      <c r="D662" s="25" t="s">
        <v>24</v>
      </c>
      <c r="E662" s="26" t="s">
        <v>1379</v>
      </c>
      <c r="G662" s="28"/>
      <c r="H662" s="27" t="s">
        <v>1514</v>
      </c>
      <c r="K662" s="29" t="str">
        <f t="shared" si="27"/>
        <v>Pump6</v>
      </c>
      <c r="L662" s="29" t="str">
        <f t="shared" si="28"/>
        <v>Set_tempDE</v>
      </c>
    </row>
    <row r="663" spans="1:12" s="27" customFormat="1" hidden="1" x14ac:dyDescent="0.25">
      <c r="A663" s="25">
        <v>629</v>
      </c>
      <c r="B663" s="26" t="s">
        <v>1264</v>
      </c>
      <c r="C663" s="25" t="s">
        <v>1265</v>
      </c>
      <c r="D663" s="25" t="s">
        <v>24</v>
      </c>
      <c r="E663" s="26" t="s">
        <v>1380</v>
      </c>
      <c r="G663" s="28"/>
      <c r="H663" s="27" t="s">
        <v>1515</v>
      </c>
      <c r="K663" s="29" t="str">
        <f t="shared" si="27"/>
        <v>Pump6</v>
      </c>
      <c r="L663" s="29" t="str">
        <f t="shared" si="28"/>
        <v>Set_tempNDE</v>
      </c>
    </row>
    <row r="664" spans="1:12" s="27" customFormat="1" hidden="1" x14ac:dyDescent="0.25">
      <c r="A664" s="25">
        <v>630</v>
      </c>
      <c r="B664" s="26" t="s">
        <v>1266</v>
      </c>
      <c r="C664" s="25" t="s">
        <v>1267</v>
      </c>
      <c r="D664" s="25" t="s">
        <v>24</v>
      </c>
      <c r="E664" s="26" t="s">
        <v>1376</v>
      </c>
      <c r="G664" s="28" t="s">
        <v>1501</v>
      </c>
      <c r="H664" s="27" t="s">
        <v>1511</v>
      </c>
      <c r="K664" s="29" t="str">
        <f t="shared" si="27"/>
        <v>Pump7</v>
      </c>
      <c r="L664" s="29" t="str">
        <f t="shared" si="28"/>
        <v>Set_tempA</v>
      </c>
    </row>
    <row r="665" spans="1:12" s="27" customFormat="1" hidden="1" x14ac:dyDescent="0.25">
      <c r="A665" s="25">
        <v>631</v>
      </c>
      <c r="B665" s="26" t="s">
        <v>1268</v>
      </c>
      <c r="C665" s="25" t="s">
        <v>1269</v>
      </c>
      <c r="D665" s="25" t="s">
        <v>24</v>
      </c>
      <c r="E665" s="26" t="s">
        <v>1377</v>
      </c>
      <c r="G665" s="28"/>
      <c r="H665" s="27" t="s">
        <v>1512</v>
      </c>
      <c r="K665" s="29" t="str">
        <f t="shared" si="27"/>
        <v>Pump7</v>
      </c>
      <c r="L665" s="29" t="str">
        <f t="shared" si="28"/>
        <v>Set_tempB</v>
      </c>
    </row>
    <row r="666" spans="1:12" s="27" customFormat="1" hidden="1" x14ac:dyDescent="0.25">
      <c r="A666" s="25">
        <v>632</v>
      </c>
      <c r="B666" s="26" t="s">
        <v>1270</v>
      </c>
      <c r="C666" s="25" t="s">
        <v>1271</v>
      </c>
      <c r="D666" s="25" t="s">
        <v>24</v>
      </c>
      <c r="E666" s="26" t="s">
        <v>1378</v>
      </c>
      <c r="G666" s="28"/>
      <c r="H666" s="27" t="s">
        <v>1513</v>
      </c>
      <c r="K666" s="29" t="str">
        <f t="shared" si="27"/>
        <v>Pump7</v>
      </c>
      <c r="L666" s="29" t="str">
        <f t="shared" si="28"/>
        <v>Set_tempC</v>
      </c>
    </row>
    <row r="667" spans="1:12" s="27" customFormat="1" hidden="1" x14ac:dyDescent="0.25">
      <c r="A667" s="25">
        <v>633</v>
      </c>
      <c r="B667" s="26" t="s">
        <v>1272</v>
      </c>
      <c r="C667" s="25" t="s">
        <v>1273</v>
      </c>
      <c r="D667" s="25" t="s">
        <v>24</v>
      </c>
      <c r="E667" s="26" t="s">
        <v>1379</v>
      </c>
      <c r="G667" s="28"/>
      <c r="H667" s="27" t="s">
        <v>1514</v>
      </c>
      <c r="K667" s="29" t="str">
        <f t="shared" si="27"/>
        <v>Pump7</v>
      </c>
      <c r="L667" s="29" t="str">
        <f t="shared" si="28"/>
        <v>Set_tempDE</v>
      </c>
    </row>
    <row r="668" spans="1:12" s="27" customFormat="1" hidden="1" x14ac:dyDescent="0.25">
      <c r="A668" s="25">
        <v>634</v>
      </c>
      <c r="B668" s="26" t="s">
        <v>1274</v>
      </c>
      <c r="C668" s="25" t="s">
        <v>1275</v>
      </c>
      <c r="D668" s="25" t="s">
        <v>24</v>
      </c>
      <c r="E668" s="26" t="s">
        <v>1380</v>
      </c>
      <c r="G668" s="28"/>
      <c r="H668" s="27" t="s">
        <v>1515</v>
      </c>
      <c r="K668" s="29" t="str">
        <f t="shared" si="27"/>
        <v>Pump7</v>
      </c>
      <c r="L668" s="29" t="str">
        <f t="shared" si="28"/>
        <v>Set_tempNDE</v>
      </c>
    </row>
    <row r="669" spans="1:12" s="27" customFormat="1" hidden="1" x14ac:dyDescent="0.25">
      <c r="A669" s="25">
        <v>635</v>
      </c>
      <c r="B669" s="26" t="s">
        <v>1276</v>
      </c>
      <c r="C669" s="25" t="s">
        <v>1277</v>
      </c>
      <c r="D669" s="25" t="s">
        <v>24</v>
      </c>
      <c r="E669" s="26" t="s">
        <v>1376</v>
      </c>
      <c r="G669" s="28" t="s">
        <v>1502</v>
      </c>
      <c r="H669" s="27" t="s">
        <v>1511</v>
      </c>
      <c r="K669" s="29" t="str">
        <f t="shared" si="27"/>
        <v>Pump8</v>
      </c>
      <c r="L669" s="29" t="str">
        <f t="shared" si="28"/>
        <v>Set_tempA</v>
      </c>
    </row>
    <row r="670" spans="1:12" s="27" customFormat="1" hidden="1" x14ac:dyDescent="0.25">
      <c r="A670" s="25">
        <v>636</v>
      </c>
      <c r="B670" s="26" t="s">
        <v>1278</v>
      </c>
      <c r="C670" s="25" t="s">
        <v>1279</v>
      </c>
      <c r="D670" s="25" t="s">
        <v>24</v>
      </c>
      <c r="E670" s="26" t="s">
        <v>1377</v>
      </c>
      <c r="G670" s="28"/>
      <c r="H670" s="27" t="s">
        <v>1512</v>
      </c>
      <c r="K670" s="29" t="str">
        <f t="shared" si="27"/>
        <v>Pump8</v>
      </c>
      <c r="L670" s="29" t="str">
        <f t="shared" si="28"/>
        <v>Set_tempB</v>
      </c>
    </row>
    <row r="671" spans="1:12" s="27" customFormat="1" hidden="1" x14ac:dyDescent="0.25">
      <c r="A671" s="25">
        <v>637</v>
      </c>
      <c r="B671" s="26" t="s">
        <v>1280</v>
      </c>
      <c r="C671" s="25" t="s">
        <v>1281</v>
      </c>
      <c r="D671" s="25" t="s">
        <v>24</v>
      </c>
      <c r="E671" s="26" t="s">
        <v>1378</v>
      </c>
      <c r="G671" s="28"/>
      <c r="H671" s="27" t="s">
        <v>1513</v>
      </c>
      <c r="K671" s="29" t="str">
        <f t="shared" si="27"/>
        <v>Pump8</v>
      </c>
      <c r="L671" s="29" t="str">
        <f t="shared" si="28"/>
        <v>Set_tempC</v>
      </c>
    </row>
    <row r="672" spans="1:12" s="27" customFormat="1" hidden="1" x14ac:dyDescent="0.25">
      <c r="A672" s="25">
        <v>638</v>
      </c>
      <c r="B672" s="26" t="s">
        <v>1282</v>
      </c>
      <c r="C672" s="25" t="s">
        <v>1283</v>
      </c>
      <c r="D672" s="25" t="s">
        <v>24</v>
      </c>
      <c r="E672" s="26" t="s">
        <v>1379</v>
      </c>
      <c r="G672" s="28"/>
      <c r="H672" s="27" t="s">
        <v>1514</v>
      </c>
      <c r="K672" s="29" t="str">
        <f t="shared" si="27"/>
        <v>Pump8</v>
      </c>
      <c r="L672" s="29" t="str">
        <f t="shared" si="28"/>
        <v>Set_tempDE</v>
      </c>
    </row>
    <row r="673" spans="1:12" s="27" customFormat="1" hidden="1" x14ac:dyDescent="0.25">
      <c r="A673" s="25">
        <v>639</v>
      </c>
      <c r="B673" s="26" t="s">
        <v>1284</v>
      </c>
      <c r="C673" s="25" t="s">
        <v>1285</v>
      </c>
      <c r="D673" s="25" t="s">
        <v>24</v>
      </c>
      <c r="E673" s="26" t="s">
        <v>1380</v>
      </c>
      <c r="G673" s="28"/>
      <c r="H673" s="27" t="s">
        <v>1515</v>
      </c>
      <c r="K673" s="29" t="str">
        <f t="shared" si="27"/>
        <v>Pump8</v>
      </c>
      <c r="L673" s="29" t="str">
        <f t="shared" si="28"/>
        <v>Set_tempNDE</v>
      </c>
    </row>
    <row r="674" spans="1:12" s="27" customFormat="1" hidden="1" x14ac:dyDescent="0.25">
      <c r="A674" s="25">
        <v>640</v>
      </c>
      <c r="B674" s="26" t="s">
        <v>1286</v>
      </c>
      <c r="C674" s="25" t="s">
        <v>1287</v>
      </c>
      <c r="D674" s="25" t="s">
        <v>24</v>
      </c>
      <c r="E674" s="26" t="s">
        <v>1376</v>
      </c>
      <c r="G674" s="28" t="s">
        <v>1503</v>
      </c>
      <c r="H674" s="27" t="s">
        <v>1511</v>
      </c>
      <c r="K674" s="29" t="str">
        <f t="shared" si="27"/>
        <v>Pump9</v>
      </c>
      <c r="L674" s="29" t="str">
        <f t="shared" si="28"/>
        <v>Set_tempA</v>
      </c>
    </row>
    <row r="675" spans="1:12" s="27" customFormat="1" hidden="1" x14ac:dyDescent="0.25">
      <c r="A675" s="25">
        <v>641</v>
      </c>
      <c r="B675" s="26" t="s">
        <v>1288</v>
      </c>
      <c r="C675" s="25" t="s">
        <v>1289</v>
      </c>
      <c r="D675" s="25" t="s">
        <v>24</v>
      </c>
      <c r="E675" s="26" t="s">
        <v>1377</v>
      </c>
      <c r="G675" s="28"/>
      <c r="H675" s="27" t="s">
        <v>1512</v>
      </c>
      <c r="K675" s="29" t="str">
        <f t="shared" si="27"/>
        <v>Pump9</v>
      </c>
      <c r="L675" s="29" t="str">
        <f t="shared" si="28"/>
        <v>Set_tempB</v>
      </c>
    </row>
    <row r="676" spans="1:12" s="27" customFormat="1" hidden="1" x14ac:dyDescent="0.25">
      <c r="A676" s="25">
        <v>642</v>
      </c>
      <c r="B676" s="26" t="s">
        <v>1290</v>
      </c>
      <c r="C676" s="25" t="s">
        <v>1291</v>
      </c>
      <c r="D676" s="25" t="s">
        <v>24</v>
      </c>
      <c r="E676" s="26" t="s">
        <v>1378</v>
      </c>
      <c r="G676" s="28"/>
      <c r="H676" s="27" t="s">
        <v>1513</v>
      </c>
      <c r="K676" s="29" t="str">
        <f t="shared" si="27"/>
        <v>Pump9</v>
      </c>
      <c r="L676" s="29" t="str">
        <f t="shared" si="28"/>
        <v>Set_tempC</v>
      </c>
    </row>
    <row r="677" spans="1:12" s="27" customFormat="1" hidden="1" x14ac:dyDescent="0.25">
      <c r="A677" s="25">
        <v>643</v>
      </c>
      <c r="B677" s="26" t="s">
        <v>1292</v>
      </c>
      <c r="C677" s="25" t="s">
        <v>1293</v>
      </c>
      <c r="D677" s="25" t="s">
        <v>24</v>
      </c>
      <c r="E677" s="26" t="s">
        <v>1379</v>
      </c>
      <c r="G677" s="28"/>
      <c r="H677" s="27" t="s">
        <v>1514</v>
      </c>
      <c r="K677" s="29" t="str">
        <f t="shared" si="27"/>
        <v>Pump9</v>
      </c>
      <c r="L677" s="29" t="str">
        <f t="shared" si="28"/>
        <v>Set_tempDE</v>
      </c>
    </row>
    <row r="678" spans="1:12" s="27" customFormat="1" hidden="1" x14ac:dyDescent="0.25">
      <c r="A678" s="25">
        <v>644</v>
      </c>
      <c r="B678" s="26" t="s">
        <v>1294</v>
      </c>
      <c r="C678" s="25" t="s">
        <v>1295</v>
      </c>
      <c r="D678" s="25" t="s">
        <v>24</v>
      </c>
      <c r="E678" s="26" t="s">
        <v>1380</v>
      </c>
      <c r="G678" s="28"/>
      <c r="H678" s="27" t="s">
        <v>1515</v>
      </c>
      <c r="K678" s="29" t="str">
        <f t="shared" si="27"/>
        <v>Pump9</v>
      </c>
      <c r="L678" s="29" t="str">
        <f t="shared" si="28"/>
        <v>Set_tempNDE</v>
      </c>
    </row>
    <row r="679" spans="1:12" s="27" customFormat="1" hidden="1" x14ac:dyDescent="0.25">
      <c r="A679" s="25">
        <v>645</v>
      </c>
      <c r="B679" s="26" t="s">
        <v>1296</v>
      </c>
      <c r="C679" s="25" t="s">
        <v>1297</v>
      </c>
      <c r="D679" s="25" t="s">
        <v>24</v>
      </c>
      <c r="E679" s="26" t="s">
        <v>1376</v>
      </c>
      <c r="G679" s="28" t="s">
        <v>1504</v>
      </c>
      <c r="H679" s="27" t="s">
        <v>1511</v>
      </c>
      <c r="K679" s="29" t="str">
        <f t="shared" si="27"/>
        <v>Pump10</v>
      </c>
      <c r="L679" s="29" t="str">
        <f t="shared" si="28"/>
        <v>Set_tempA</v>
      </c>
    </row>
    <row r="680" spans="1:12" s="27" customFormat="1" hidden="1" x14ac:dyDescent="0.25">
      <c r="A680" s="25">
        <v>646</v>
      </c>
      <c r="B680" s="26" t="s">
        <v>1298</v>
      </c>
      <c r="C680" s="25" t="s">
        <v>1299</v>
      </c>
      <c r="D680" s="25" t="s">
        <v>24</v>
      </c>
      <c r="E680" s="26" t="s">
        <v>1377</v>
      </c>
      <c r="G680" s="28"/>
      <c r="H680" s="27" t="s">
        <v>1512</v>
      </c>
      <c r="K680" s="29" t="str">
        <f t="shared" si="27"/>
        <v>Pump10</v>
      </c>
      <c r="L680" s="29" t="str">
        <f t="shared" si="28"/>
        <v>Set_tempB</v>
      </c>
    </row>
    <row r="681" spans="1:12" s="27" customFormat="1" hidden="1" x14ac:dyDescent="0.25">
      <c r="A681" s="25">
        <v>647</v>
      </c>
      <c r="B681" s="26" t="s">
        <v>1300</v>
      </c>
      <c r="C681" s="25" t="s">
        <v>1301</v>
      </c>
      <c r="D681" s="25" t="s">
        <v>24</v>
      </c>
      <c r="E681" s="26" t="s">
        <v>1378</v>
      </c>
      <c r="G681" s="28"/>
      <c r="H681" s="27" t="s">
        <v>1513</v>
      </c>
      <c r="K681" s="29" t="str">
        <f t="shared" si="27"/>
        <v>Pump10</v>
      </c>
      <c r="L681" s="29" t="str">
        <f t="shared" si="28"/>
        <v>Set_tempC</v>
      </c>
    </row>
    <row r="682" spans="1:12" s="27" customFormat="1" hidden="1" x14ac:dyDescent="0.25">
      <c r="A682" s="25">
        <v>648</v>
      </c>
      <c r="B682" s="26" t="s">
        <v>1302</v>
      </c>
      <c r="C682" s="25" t="s">
        <v>1303</v>
      </c>
      <c r="D682" s="25" t="s">
        <v>24</v>
      </c>
      <c r="E682" s="26" t="s">
        <v>1379</v>
      </c>
      <c r="G682" s="28"/>
      <c r="H682" s="27" t="s">
        <v>1514</v>
      </c>
      <c r="K682" s="29" t="str">
        <f t="shared" si="27"/>
        <v>Pump10</v>
      </c>
      <c r="L682" s="29" t="str">
        <f t="shared" si="28"/>
        <v>Set_tempDE</v>
      </c>
    </row>
    <row r="683" spans="1:12" s="27" customFormat="1" hidden="1" x14ac:dyDescent="0.25">
      <c r="A683" s="25">
        <v>649</v>
      </c>
      <c r="B683" s="26" t="s">
        <v>1304</v>
      </c>
      <c r="C683" s="25" t="s">
        <v>1305</v>
      </c>
      <c r="D683" s="25" t="s">
        <v>24</v>
      </c>
      <c r="E683" s="26" t="s">
        <v>1380</v>
      </c>
      <c r="G683" s="28"/>
      <c r="H683" s="27" t="s">
        <v>1515</v>
      </c>
      <c r="K683" s="29" t="str">
        <f t="shared" si="27"/>
        <v>Pump10</v>
      </c>
      <c r="L683" s="29" t="str">
        <f t="shared" si="28"/>
        <v>Set_tempNDE</v>
      </c>
    </row>
    <row r="684" spans="1:12" s="27" customFormat="1" hidden="1" x14ac:dyDescent="0.25">
      <c r="A684" s="35"/>
      <c r="B684" s="36" t="s">
        <v>1443</v>
      </c>
      <c r="C684" s="35"/>
      <c r="D684" s="35" t="s">
        <v>1479</v>
      </c>
      <c r="E684" s="36" t="s">
        <v>1476</v>
      </c>
      <c r="K684" s="29" t="str">
        <f t="shared" si="27"/>
        <v>Metter0</v>
      </c>
      <c r="L684" s="29" t="str">
        <f t="shared" si="28"/>
        <v>Set_CurentR</v>
      </c>
    </row>
    <row r="685" spans="1:12" s="27" customFormat="1" hidden="1" x14ac:dyDescent="0.25">
      <c r="A685" s="35"/>
      <c r="B685" s="36" t="s">
        <v>1444</v>
      </c>
      <c r="C685" s="35"/>
      <c r="D685" s="35" t="s">
        <v>1479</v>
      </c>
      <c r="E685" s="36" t="s">
        <v>1477</v>
      </c>
      <c r="K685" s="29" t="str">
        <f t="shared" si="27"/>
        <v>Metter0</v>
      </c>
      <c r="L685" s="29" t="str">
        <f t="shared" si="28"/>
        <v>Set_CurentS</v>
      </c>
    </row>
    <row r="686" spans="1:12" s="27" customFormat="1" hidden="1" x14ac:dyDescent="0.25">
      <c r="A686" s="35"/>
      <c r="B686" s="36" t="s">
        <v>1445</v>
      </c>
      <c r="C686" s="35"/>
      <c r="D686" s="35" t="s">
        <v>1479</v>
      </c>
      <c r="E686" s="36" t="s">
        <v>1478</v>
      </c>
      <c r="K686" s="29" t="str">
        <f t="shared" ref="K686:K716" si="33">LEFT(B686, SEARCH("_",B686 ) - 1)</f>
        <v>Metter0</v>
      </c>
      <c r="L686" s="29" t="str">
        <f t="shared" si="28"/>
        <v>Set_CurentT</v>
      </c>
    </row>
    <row r="687" spans="1:12" s="27" customFormat="1" hidden="1" x14ac:dyDescent="0.25">
      <c r="A687" s="35"/>
      <c r="B687" s="36" t="s">
        <v>1446</v>
      </c>
      <c r="C687" s="35"/>
      <c r="D687" s="35" t="s">
        <v>1479</v>
      </c>
      <c r="E687" s="36" t="s">
        <v>1476</v>
      </c>
      <c r="K687" s="29" t="str">
        <f t="shared" si="33"/>
        <v>Metter1</v>
      </c>
      <c r="L687" s="29" t="str">
        <f t="shared" si="28"/>
        <v>Set_CurentR</v>
      </c>
    </row>
    <row r="688" spans="1:12" s="27" customFormat="1" hidden="1" x14ac:dyDescent="0.25">
      <c r="A688" s="35"/>
      <c r="B688" s="36" t="s">
        <v>1447</v>
      </c>
      <c r="C688" s="35"/>
      <c r="D688" s="35" t="s">
        <v>1479</v>
      </c>
      <c r="E688" s="36" t="s">
        <v>1477</v>
      </c>
      <c r="K688" s="29" t="str">
        <f t="shared" si="33"/>
        <v>Metter1</v>
      </c>
      <c r="L688" s="29" t="str">
        <f t="shared" ref="L688:L716" si="34">RIGHT(B688, LEN(B688)-SEARCH("_",B688 ))</f>
        <v>Set_CurentS</v>
      </c>
    </row>
    <row r="689" spans="1:12" s="27" customFormat="1" hidden="1" x14ac:dyDescent="0.25">
      <c r="A689" s="35"/>
      <c r="B689" s="36" t="s">
        <v>1448</v>
      </c>
      <c r="C689" s="35"/>
      <c r="D689" s="35" t="s">
        <v>1479</v>
      </c>
      <c r="E689" s="36" t="s">
        <v>1478</v>
      </c>
      <c r="K689" s="29" t="str">
        <f t="shared" si="33"/>
        <v>Metter1</v>
      </c>
      <c r="L689" s="29" t="str">
        <f t="shared" si="34"/>
        <v>Set_CurentT</v>
      </c>
    </row>
    <row r="690" spans="1:12" s="27" customFormat="1" hidden="1" x14ac:dyDescent="0.25">
      <c r="A690" s="35"/>
      <c r="B690" s="36" t="s">
        <v>1449</v>
      </c>
      <c r="C690" s="35"/>
      <c r="D690" s="35" t="s">
        <v>1479</v>
      </c>
      <c r="E690" s="36" t="s">
        <v>1476</v>
      </c>
      <c r="K690" s="29" t="str">
        <f t="shared" si="33"/>
        <v>Metter2</v>
      </c>
      <c r="L690" s="29" t="str">
        <f t="shared" si="34"/>
        <v>Set_CurentR</v>
      </c>
    </row>
    <row r="691" spans="1:12" s="27" customFormat="1" hidden="1" x14ac:dyDescent="0.25">
      <c r="A691" s="35"/>
      <c r="B691" s="36" t="s">
        <v>1450</v>
      </c>
      <c r="C691" s="35"/>
      <c r="D691" s="35" t="s">
        <v>1479</v>
      </c>
      <c r="E691" s="36" t="s">
        <v>1477</v>
      </c>
      <c r="K691" s="29" t="str">
        <f t="shared" si="33"/>
        <v>Metter2</v>
      </c>
      <c r="L691" s="29" t="str">
        <f t="shared" si="34"/>
        <v>Set_CurentS</v>
      </c>
    </row>
    <row r="692" spans="1:12" s="27" customFormat="1" hidden="1" x14ac:dyDescent="0.25">
      <c r="A692" s="35"/>
      <c r="B692" s="36" t="s">
        <v>1451</v>
      </c>
      <c r="C692" s="35"/>
      <c r="D692" s="35" t="s">
        <v>1479</v>
      </c>
      <c r="E692" s="36" t="s">
        <v>1478</v>
      </c>
      <c r="K692" s="29" t="str">
        <f t="shared" si="33"/>
        <v>Metter2</v>
      </c>
      <c r="L692" s="29" t="str">
        <f t="shared" si="34"/>
        <v>Set_CurentT</v>
      </c>
    </row>
    <row r="693" spans="1:12" s="27" customFormat="1" hidden="1" x14ac:dyDescent="0.25">
      <c r="A693" s="35"/>
      <c r="B693" s="36" t="s">
        <v>1452</v>
      </c>
      <c r="C693" s="35"/>
      <c r="D693" s="35" t="s">
        <v>1479</v>
      </c>
      <c r="E693" s="36" t="s">
        <v>1476</v>
      </c>
      <c r="K693" s="29" t="str">
        <f t="shared" si="33"/>
        <v>Metter3</v>
      </c>
      <c r="L693" s="29" t="str">
        <f t="shared" si="34"/>
        <v>Set_CurentR</v>
      </c>
    </row>
    <row r="694" spans="1:12" s="27" customFormat="1" hidden="1" x14ac:dyDescent="0.25">
      <c r="A694" s="35"/>
      <c r="B694" s="36" t="s">
        <v>1453</v>
      </c>
      <c r="C694" s="35"/>
      <c r="D694" s="35" t="s">
        <v>1479</v>
      </c>
      <c r="E694" s="36" t="s">
        <v>1477</v>
      </c>
      <c r="K694" s="29" t="str">
        <f t="shared" si="33"/>
        <v>Metter3</v>
      </c>
      <c r="L694" s="29" t="str">
        <f t="shared" si="34"/>
        <v>Set_CurentS</v>
      </c>
    </row>
    <row r="695" spans="1:12" s="27" customFormat="1" hidden="1" x14ac:dyDescent="0.25">
      <c r="A695" s="35"/>
      <c r="B695" s="36" t="s">
        <v>1454</v>
      </c>
      <c r="C695" s="35"/>
      <c r="D695" s="35" t="s">
        <v>1479</v>
      </c>
      <c r="E695" s="36" t="s">
        <v>1478</v>
      </c>
      <c r="K695" s="29" t="str">
        <f t="shared" si="33"/>
        <v>Metter3</v>
      </c>
      <c r="L695" s="29" t="str">
        <f t="shared" si="34"/>
        <v>Set_CurentT</v>
      </c>
    </row>
    <row r="696" spans="1:12" s="27" customFormat="1" hidden="1" x14ac:dyDescent="0.25">
      <c r="A696" s="35"/>
      <c r="B696" s="36" t="s">
        <v>1455</v>
      </c>
      <c r="C696" s="35"/>
      <c r="D696" s="35" t="s">
        <v>1479</v>
      </c>
      <c r="E696" s="36" t="s">
        <v>1476</v>
      </c>
      <c r="K696" s="29" t="str">
        <f t="shared" si="33"/>
        <v>Metter4</v>
      </c>
      <c r="L696" s="29" t="str">
        <f t="shared" si="34"/>
        <v>Set_CurentR</v>
      </c>
    </row>
    <row r="697" spans="1:12" s="27" customFormat="1" hidden="1" x14ac:dyDescent="0.25">
      <c r="A697" s="35"/>
      <c r="B697" s="36" t="s">
        <v>1456</v>
      </c>
      <c r="C697" s="35"/>
      <c r="D697" s="35" t="s">
        <v>1479</v>
      </c>
      <c r="E697" s="36" t="s">
        <v>1477</v>
      </c>
      <c r="K697" s="29" t="str">
        <f t="shared" si="33"/>
        <v>Metter4</v>
      </c>
      <c r="L697" s="29" t="str">
        <f t="shared" si="34"/>
        <v>Set_CurentS</v>
      </c>
    </row>
    <row r="698" spans="1:12" s="27" customFormat="1" hidden="1" x14ac:dyDescent="0.25">
      <c r="A698" s="35"/>
      <c r="B698" s="36" t="s">
        <v>1457</v>
      </c>
      <c r="C698" s="35"/>
      <c r="D698" s="35" t="s">
        <v>1479</v>
      </c>
      <c r="E698" s="36" t="s">
        <v>1478</v>
      </c>
      <c r="K698" s="29" t="str">
        <f t="shared" si="33"/>
        <v>Metter4</v>
      </c>
      <c r="L698" s="29" t="str">
        <f t="shared" si="34"/>
        <v>Set_CurentT</v>
      </c>
    </row>
    <row r="699" spans="1:12" s="27" customFormat="1" hidden="1" x14ac:dyDescent="0.25">
      <c r="A699" s="35"/>
      <c r="B699" s="36" t="s">
        <v>1458</v>
      </c>
      <c r="C699" s="35"/>
      <c r="D699" s="35" t="s">
        <v>1479</v>
      </c>
      <c r="E699" s="36" t="s">
        <v>1476</v>
      </c>
      <c r="K699" s="29" t="str">
        <f t="shared" si="33"/>
        <v>Metter5</v>
      </c>
      <c r="L699" s="29" t="str">
        <f t="shared" si="34"/>
        <v>Set_CurentR</v>
      </c>
    </row>
    <row r="700" spans="1:12" s="27" customFormat="1" hidden="1" x14ac:dyDescent="0.25">
      <c r="A700" s="35"/>
      <c r="B700" s="36" t="s">
        <v>1459</v>
      </c>
      <c r="C700" s="35"/>
      <c r="D700" s="35" t="s">
        <v>1479</v>
      </c>
      <c r="E700" s="36" t="s">
        <v>1477</v>
      </c>
      <c r="K700" s="29" t="str">
        <f t="shared" si="33"/>
        <v>Metter5</v>
      </c>
      <c r="L700" s="29" t="str">
        <f t="shared" si="34"/>
        <v>Set_CurentS</v>
      </c>
    </row>
    <row r="701" spans="1:12" s="27" customFormat="1" hidden="1" x14ac:dyDescent="0.25">
      <c r="A701" s="35"/>
      <c r="B701" s="36" t="s">
        <v>1460</v>
      </c>
      <c r="C701" s="35"/>
      <c r="D701" s="35" t="s">
        <v>1479</v>
      </c>
      <c r="E701" s="36" t="s">
        <v>1478</v>
      </c>
      <c r="K701" s="29" t="str">
        <f t="shared" si="33"/>
        <v>Metter5</v>
      </c>
      <c r="L701" s="29" t="str">
        <f t="shared" si="34"/>
        <v>Set_CurentT</v>
      </c>
    </row>
    <row r="702" spans="1:12" s="27" customFormat="1" hidden="1" x14ac:dyDescent="0.25">
      <c r="A702" s="35"/>
      <c r="B702" s="36" t="s">
        <v>1461</v>
      </c>
      <c r="C702" s="35"/>
      <c r="D702" s="35" t="s">
        <v>1479</v>
      </c>
      <c r="E702" s="36" t="s">
        <v>1476</v>
      </c>
      <c r="K702" s="29" t="str">
        <f t="shared" si="33"/>
        <v>Metter6</v>
      </c>
      <c r="L702" s="29" t="str">
        <f t="shared" si="34"/>
        <v>Set_CurentR</v>
      </c>
    </row>
    <row r="703" spans="1:12" s="27" customFormat="1" hidden="1" x14ac:dyDescent="0.25">
      <c r="A703" s="35"/>
      <c r="B703" s="36" t="s">
        <v>1462</v>
      </c>
      <c r="C703" s="35"/>
      <c r="D703" s="35" t="s">
        <v>1479</v>
      </c>
      <c r="E703" s="36" t="s">
        <v>1477</v>
      </c>
      <c r="K703" s="29" t="str">
        <f t="shared" si="33"/>
        <v>Metter6</v>
      </c>
      <c r="L703" s="29" t="str">
        <f t="shared" si="34"/>
        <v>Set_CurentS</v>
      </c>
    </row>
    <row r="704" spans="1:12" s="27" customFormat="1" hidden="1" x14ac:dyDescent="0.25">
      <c r="A704" s="35"/>
      <c r="B704" s="36" t="s">
        <v>1463</v>
      </c>
      <c r="C704" s="35"/>
      <c r="D704" s="35" t="s">
        <v>1479</v>
      </c>
      <c r="E704" s="36" t="s">
        <v>1478</v>
      </c>
      <c r="K704" s="29" t="str">
        <f t="shared" si="33"/>
        <v>Metter6</v>
      </c>
      <c r="L704" s="29" t="str">
        <f t="shared" si="34"/>
        <v>Set_CurentT</v>
      </c>
    </row>
    <row r="705" spans="1:12" s="27" customFormat="1" hidden="1" x14ac:dyDescent="0.25">
      <c r="A705" s="35"/>
      <c r="B705" s="36" t="s">
        <v>1464</v>
      </c>
      <c r="C705" s="35"/>
      <c r="D705" s="35" t="s">
        <v>1479</v>
      </c>
      <c r="E705" s="36" t="s">
        <v>1476</v>
      </c>
      <c r="K705" s="29" t="str">
        <f t="shared" si="33"/>
        <v>Metter7</v>
      </c>
      <c r="L705" s="29" t="str">
        <f t="shared" si="34"/>
        <v>Set_CurentR</v>
      </c>
    </row>
    <row r="706" spans="1:12" s="27" customFormat="1" hidden="1" x14ac:dyDescent="0.25">
      <c r="A706" s="35"/>
      <c r="B706" s="36" t="s">
        <v>1465</v>
      </c>
      <c r="C706" s="35"/>
      <c r="D706" s="35" t="s">
        <v>1479</v>
      </c>
      <c r="E706" s="36" t="s">
        <v>1477</v>
      </c>
      <c r="K706" s="29" t="str">
        <f t="shared" si="33"/>
        <v>Metter7</v>
      </c>
      <c r="L706" s="29" t="str">
        <f t="shared" si="34"/>
        <v>Set_CurentS</v>
      </c>
    </row>
    <row r="707" spans="1:12" s="27" customFormat="1" hidden="1" x14ac:dyDescent="0.25">
      <c r="A707" s="35"/>
      <c r="B707" s="36" t="s">
        <v>1466</v>
      </c>
      <c r="C707" s="35"/>
      <c r="D707" s="35" t="s">
        <v>1479</v>
      </c>
      <c r="E707" s="36" t="s">
        <v>1478</v>
      </c>
      <c r="K707" s="29" t="str">
        <f t="shared" si="33"/>
        <v>Metter7</v>
      </c>
      <c r="L707" s="29" t="str">
        <f t="shared" si="34"/>
        <v>Set_CurentT</v>
      </c>
    </row>
    <row r="708" spans="1:12" s="27" customFormat="1" hidden="1" x14ac:dyDescent="0.25">
      <c r="A708" s="35"/>
      <c r="B708" s="36" t="s">
        <v>1467</v>
      </c>
      <c r="C708" s="35"/>
      <c r="D708" s="35" t="s">
        <v>1479</v>
      </c>
      <c r="E708" s="36" t="s">
        <v>1476</v>
      </c>
      <c r="K708" s="29" t="str">
        <f t="shared" si="33"/>
        <v>Metter8</v>
      </c>
      <c r="L708" s="29" t="str">
        <f t="shared" si="34"/>
        <v>Set_CurentR</v>
      </c>
    </row>
    <row r="709" spans="1:12" s="27" customFormat="1" hidden="1" x14ac:dyDescent="0.25">
      <c r="A709" s="35"/>
      <c r="B709" s="36" t="s">
        <v>1468</v>
      </c>
      <c r="C709" s="35"/>
      <c r="D709" s="35" t="s">
        <v>1479</v>
      </c>
      <c r="E709" s="36" t="s">
        <v>1477</v>
      </c>
      <c r="K709" s="29" t="str">
        <f t="shared" si="33"/>
        <v>Metter8</v>
      </c>
      <c r="L709" s="29" t="str">
        <f t="shared" si="34"/>
        <v>Set_CurentS</v>
      </c>
    </row>
    <row r="710" spans="1:12" s="27" customFormat="1" hidden="1" x14ac:dyDescent="0.25">
      <c r="A710" s="35"/>
      <c r="B710" s="36" t="s">
        <v>1469</v>
      </c>
      <c r="C710" s="35"/>
      <c r="D710" s="35" t="s">
        <v>1479</v>
      </c>
      <c r="E710" s="36" t="s">
        <v>1478</v>
      </c>
      <c r="K710" s="29" t="str">
        <f t="shared" si="33"/>
        <v>Metter8</v>
      </c>
      <c r="L710" s="29" t="str">
        <f t="shared" si="34"/>
        <v>Set_CurentT</v>
      </c>
    </row>
    <row r="711" spans="1:12" s="27" customFormat="1" hidden="1" x14ac:dyDescent="0.25">
      <c r="A711" s="35"/>
      <c r="B711" s="36" t="s">
        <v>1470</v>
      </c>
      <c r="C711" s="35"/>
      <c r="D711" s="35" t="s">
        <v>1479</v>
      </c>
      <c r="E711" s="36" t="s">
        <v>1476</v>
      </c>
      <c r="K711" s="29" t="str">
        <f t="shared" si="33"/>
        <v>Metter9</v>
      </c>
      <c r="L711" s="29" t="str">
        <f t="shared" si="34"/>
        <v>Set_CurentR</v>
      </c>
    </row>
    <row r="712" spans="1:12" s="27" customFormat="1" hidden="1" x14ac:dyDescent="0.25">
      <c r="A712" s="35"/>
      <c r="B712" s="36" t="s">
        <v>1471</v>
      </c>
      <c r="C712" s="35"/>
      <c r="D712" s="35" t="s">
        <v>1479</v>
      </c>
      <c r="E712" s="36" t="s">
        <v>1477</v>
      </c>
      <c r="K712" s="29" t="str">
        <f t="shared" si="33"/>
        <v>Metter9</v>
      </c>
      <c r="L712" s="29" t="str">
        <f t="shared" si="34"/>
        <v>Set_CurentS</v>
      </c>
    </row>
    <row r="713" spans="1:12" s="27" customFormat="1" hidden="1" x14ac:dyDescent="0.25">
      <c r="A713" s="35"/>
      <c r="B713" s="36" t="s">
        <v>1472</v>
      </c>
      <c r="C713" s="35"/>
      <c r="D713" s="35" t="s">
        <v>1479</v>
      </c>
      <c r="E713" s="36" t="s">
        <v>1478</v>
      </c>
      <c r="K713" s="29" t="str">
        <f t="shared" si="33"/>
        <v>Metter9</v>
      </c>
      <c r="L713" s="29" t="str">
        <f t="shared" si="34"/>
        <v>Set_CurentT</v>
      </c>
    </row>
    <row r="714" spans="1:12" s="27" customFormat="1" hidden="1" x14ac:dyDescent="0.25">
      <c r="A714" s="35"/>
      <c r="B714" s="36" t="s">
        <v>1473</v>
      </c>
      <c r="C714" s="35"/>
      <c r="D714" s="35" t="s">
        <v>1479</v>
      </c>
      <c r="E714" s="36" t="s">
        <v>1476</v>
      </c>
      <c r="K714" s="29" t="str">
        <f t="shared" si="33"/>
        <v>Metter10</v>
      </c>
      <c r="L714" s="29" t="str">
        <f t="shared" si="34"/>
        <v>Set_CurentR</v>
      </c>
    </row>
    <row r="715" spans="1:12" s="27" customFormat="1" hidden="1" x14ac:dyDescent="0.25">
      <c r="A715" s="35"/>
      <c r="B715" s="36" t="s">
        <v>1474</v>
      </c>
      <c r="C715" s="35"/>
      <c r="D715" s="35" t="s">
        <v>1479</v>
      </c>
      <c r="E715" s="36" t="s">
        <v>1477</v>
      </c>
      <c r="K715" s="29" t="str">
        <f t="shared" si="33"/>
        <v>Metter10</v>
      </c>
      <c r="L715" s="29" t="str">
        <f t="shared" si="34"/>
        <v>Set_CurentS</v>
      </c>
    </row>
    <row r="716" spans="1:12" s="27" customFormat="1" hidden="1" x14ac:dyDescent="0.25">
      <c r="A716" s="35"/>
      <c r="B716" s="36" t="s">
        <v>1475</v>
      </c>
      <c r="C716" s="35"/>
      <c r="D716" s="35" t="s">
        <v>1479</v>
      </c>
      <c r="E716" s="36" t="s">
        <v>1478</v>
      </c>
      <c r="K716" s="29" t="str">
        <f t="shared" si="33"/>
        <v>Metter10</v>
      </c>
      <c r="L716" s="29" t="str">
        <f t="shared" si="34"/>
        <v>Set_CurentT</v>
      </c>
    </row>
  </sheetData>
  <autoFilter ref="A2:L716" xr:uid="{66F888E8-C27F-40C7-AD3B-10EF5B4FDF56}">
    <filterColumn colId="7">
      <filters>
        <filter val="Trạng thái MCCB"/>
      </filters>
    </filterColumn>
  </autoFilter>
  <mergeCells count="23">
    <mergeCell ref="G294:G351"/>
    <mergeCell ref="G4:G61"/>
    <mergeCell ref="G62:G119"/>
    <mergeCell ref="G120:G177"/>
    <mergeCell ref="G178:G235"/>
    <mergeCell ref="G236:G293"/>
    <mergeCell ref="G654:G658"/>
    <mergeCell ref="G352:G409"/>
    <mergeCell ref="G410:G467"/>
    <mergeCell ref="G468:G525"/>
    <mergeCell ref="G526:G583"/>
    <mergeCell ref="G584:G615"/>
    <mergeCell ref="G616:G623"/>
    <mergeCell ref="G624:G631"/>
    <mergeCell ref="G634:G638"/>
    <mergeCell ref="G639:G643"/>
    <mergeCell ref="G644:G648"/>
    <mergeCell ref="G649:G653"/>
    <mergeCell ref="G659:G663"/>
    <mergeCell ref="G664:G668"/>
    <mergeCell ref="G669:G673"/>
    <mergeCell ref="G674:G678"/>
    <mergeCell ref="G679:G683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256F5-A35D-4730-BB66-9B092188CABF}">
  <dimension ref="A1:L688"/>
  <sheetViews>
    <sheetView workbookViewId="0">
      <pane ySplit="3" topLeftCell="A581" activePane="bottomLeft" state="frozen"/>
      <selection pane="bottomLeft" activeCell="H605" sqref="H605"/>
    </sheetView>
  </sheetViews>
  <sheetFormatPr defaultRowHeight="15" x14ac:dyDescent="0.25"/>
  <cols>
    <col min="1" max="1" width="4.7109375" style="1" customWidth="1"/>
    <col min="2" max="2" width="34" customWidth="1"/>
    <col min="3" max="3" width="16" style="1" customWidth="1"/>
    <col min="4" max="4" width="11.42578125" style="1" customWidth="1"/>
    <col min="5" max="5" width="36.42578125" customWidth="1"/>
    <col min="7" max="7" width="15.85546875" customWidth="1"/>
    <col min="8" max="8" width="29.85546875" customWidth="1"/>
    <col min="11" max="11" width="19.28515625" customWidth="1"/>
    <col min="12" max="12" width="20.85546875" customWidth="1"/>
  </cols>
  <sheetData>
    <row r="1" spans="1:12" x14ac:dyDescent="0.25">
      <c r="F1" s="6" t="s">
        <v>1382</v>
      </c>
      <c r="G1" s="8"/>
      <c r="H1" s="8"/>
    </row>
    <row r="2" spans="1:12" x14ac:dyDescent="0.25">
      <c r="A2" s="5" t="s">
        <v>1</v>
      </c>
      <c r="B2" s="5" t="s">
        <v>0</v>
      </c>
      <c r="C2" s="5" t="s">
        <v>2</v>
      </c>
      <c r="D2" s="5" t="s">
        <v>3</v>
      </c>
      <c r="E2" s="5" t="s">
        <v>4</v>
      </c>
      <c r="H2" s="8" t="s">
        <v>1481</v>
      </c>
      <c r="I2" s="6" t="s">
        <v>1383</v>
      </c>
      <c r="J2" s="6" t="s">
        <v>1384</v>
      </c>
      <c r="K2" s="6" t="s">
        <v>1387</v>
      </c>
      <c r="L2" s="6" t="s">
        <v>0</v>
      </c>
    </row>
    <row r="3" spans="1:12" x14ac:dyDescent="0.25">
      <c r="A3" s="4" t="s">
        <v>1381</v>
      </c>
      <c r="B3" s="4"/>
      <c r="C3" s="4"/>
      <c r="D3" s="4"/>
      <c r="E3" s="4"/>
      <c r="I3" t="s">
        <v>1385</v>
      </c>
      <c r="J3" t="s">
        <v>1386</v>
      </c>
    </row>
    <row r="4" spans="1:12" x14ac:dyDescent="0.25">
      <c r="A4" s="2">
        <v>1</v>
      </c>
      <c r="B4" s="3" t="s">
        <v>5</v>
      </c>
      <c r="C4" s="2" t="s">
        <v>6</v>
      </c>
      <c r="D4" s="2" t="s">
        <v>7</v>
      </c>
      <c r="E4" s="3" t="s">
        <v>1355</v>
      </c>
      <c r="G4" s="18" t="s">
        <v>1489</v>
      </c>
      <c r="K4" s="7" t="str">
        <f>LEFT(B4, SEARCH("_",B4 ) - 1)</f>
        <v>Pump1</v>
      </c>
      <c r="L4" t="str">
        <f>RIGHT(B4,LEN(B4)-6)</f>
        <v>FB_auto</v>
      </c>
    </row>
    <row r="5" spans="1:12" x14ac:dyDescent="0.25">
      <c r="A5" s="2">
        <v>2</v>
      </c>
      <c r="B5" s="3" t="s">
        <v>8</v>
      </c>
      <c r="C5" s="2" t="s">
        <v>9</v>
      </c>
      <c r="D5" s="2" t="s">
        <v>7</v>
      </c>
      <c r="E5" s="3" t="s">
        <v>1306</v>
      </c>
      <c r="G5" s="18"/>
      <c r="H5" t="s">
        <v>1505</v>
      </c>
      <c r="K5" s="7" t="str">
        <f t="shared" ref="K5:K70" si="0">LEFT(B5, SEARCH("_",B5 ) - 1)</f>
        <v>Pump1</v>
      </c>
      <c r="L5" t="str">
        <f t="shared" ref="L5:L10" si="1">RIGHT(B5,LEN(B5)-6)</f>
        <v>FB_Run</v>
      </c>
    </row>
    <row r="6" spans="1:12" x14ac:dyDescent="0.25">
      <c r="A6" s="2">
        <v>3</v>
      </c>
      <c r="B6" s="3" t="s">
        <v>10</v>
      </c>
      <c r="C6" s="2" t="s">
        <v>11</v>
      </c>
      <c r="D6" s="2" t="s">
        <v>7</v>
      </c>
      <c r="E6" s="3" t="s">
        <v>1307</v>
      </c>
      <c r="G6" s="18"/>
      <c r="K6" s="7" t="str">
        <f t="shared" si="0"/>
        <v>Pump1</v>
      </c>
      <c r="L6" t="str">
        <f t="shared" si="1"/>
        <v>FB_Fault_V</v>
      </c>
    </row>
    <row r="7" spans="1:12" x14ac:dyDescent="0.25">
      <c r="A7" s="2">
        <v>4</v>
      </c>
      <c r="B7" s="3" t="s">
        <v>12</v>
      </c>
      <c r="C7" s="2" t="s">
        <v>13</v>
      </c>
      <c r="D7" s="2" t="s">
        <v>7</v>
      </c>
      <c r="E7" s="3" t="s">
        <v>1307</v>
      </c>
      <c r="G7" s="18"/>
      <c r="K7" s="7" t="str">
        <f t="shared" si="0"/>
        <v>Pump1</v>
      </c>
      <c r="L7" t="str">
        <f t="shared" si="1"/>
        <v>FB_Fault_SS</v>
      </c>
    </row>
    <row r="8" spans="1:12" x14ac:dyDescent="0.25">
      <c r="A8" s="2">
        <v>5</v>
      </c>
      <c r="B8" s="3" t="s">
        <v>14</v>
      </c>
      <c r="C8" s="2" t="s">
        <v>15</v>
      </c>
      <c r="D8" s="2" t="s">
        <v>7</v>
      </c>
      <c r="E8" s="3" t="s">
        <v>1356</v>
      </c>
      <c r="G8" s="18"/>
      <c r="K8" s="7" t="str">
        <f t="shared" si="0"/>
        <v>Pump1</v>
      </c>
      <c r="L8" t="str">
        <f t="shared" si="1"/>
        <v>FB_Fault_Temp</v>
      </c>
    </row>
    <row r="9" spans="1:12" x14ac:dyDescent="0.25">
      <c r="A9" s="2">
        <v>6</v>
      </c>
      <c r="B9" s="3" t="s">
        <v>16</v>
      </c>
      <c r="C9" s="2" t="s">
        <v>17</v>
      </c>
      <c r="D9" s="2" t="s">
        <v>7</v>
      </c>
      <c r="E9" s="3" t="s">
        <v>1307</v>
      </c>
      <c r="G9" s="18"/>
      <c r="K9" s="7" t="str">
        <f t="shared" si="0"/>
        <v>Pump1</v>
      </c>
      <c r="L9" t="str">
        <f t="shared" si="1"/>
        <v>FB_Fault_Curent</v>
      </c>
    </row>
    <row r="10" spans="1:12" x14ac:dyDescent="0.25">
      <c r="A10" s="2">
        <v>7</v>
      </c>
      <c r="B10" s="3" t="s">
        <v>18</v>
      </c>
      <c r="C10" s="2" t="s">
        <v>19</v>
      </c>
      <c r="D10" s="2" t="s">
        <v>7</v>
      </c>
      <c r="E10" s="3" t="s">
        <v>1357</v>
      </c>
      <c r="G10" s="18"/>
      <c r="K10" s="7" t="str">
        <f t="shared" si="0"/>
        <v>Pump1</v>
      </c>
      <c r="L10" t="str">
        <f t="shared" si="1"/>
        <v>Clock_1m</v>
      </c>
    </row>
    <row r="11" spans="1:12" x14ac:dyDescent="0.25">
      <c r="A11" s="2">
        <v>8</v>
      </c>
      <c r="B11" s="3" t="s">
        <v>20</v>
      </c>
      <c r="C11" s="2" t="s">
        <v>21</v>
      </c>
      <c r="D11" s="2" t="s">
        <v>7</v>
      </c>
      <c r="E11" s="3" t="s">
        <v>1358</v>
      </c>
      <c r="G11" s="18"/>
      <c r="H11" t="s">
        <v>1495</v>
      </c>
      <c r="K11" s="7" t="str">
        <f t="shared" si="0"/>
        <v>Pump1</v>
      </c>
      <c r="L11" s="7" t="str">
        <f t="shared" ref="L11:L75" si="2">RIGHT(B11, LEN(B11)-SEARCH("_",B11 ))</f>
        <v>FB_stop</v>
      </c>
    </row>
    <row r="12" spans="1:12" x14ac:dyDescent="0.25">
      <c r="A12" s="2">
        <v>8</v>
      </c>
      <c r="B12" s="12" t="s">
        <v>1392</v>
      </c>
      <c r="C12" s="2" t="s">
        <v>21</v>
      </c>
      <c r="D12" s="2" t="s">
        <v>7</v>
      </c>
      <c r="E12" s="3" t="s">
        <v>1393</v>
      </c>
      <c r="G12" s="18"/>
      <c r="H12" t="s">
        <v>1494</v>
      </c>
      <c r="K12" s="7" t="str">
        <f t="shared" si="0"/>
        <v>Pump1</v>
      </c>
      <c r="L12" s="7" t="str">
        <f t="shared" si="2"/>
        <v>FB_maintenance</v>
      </c>
    </row>
    <row r="13" spans="1:12" x14ac:dyDescent="0.25">
      <c r="A13" s="2">
        <v>9</v>
      </c>
      <c r="B13" s="3" t="s">
        <v>22</v>
      </c>
      <c r="C13" s="2" t="s">
        <v>23</v>
      </c>
      <c r="D13" s="2" t="s">
        <v>24</v>
      </c>
      <c r="E13" s="3" t="s">
        <v>1352</v>
      </c>
      <c r="G13" s="18"/>
      <c r="K13" s="7" t="str">
        <f t="shared" si="0"/>
        <v>Pump1</v>
      </c>
      <c r="L13" s="7" t="str">
        <f t="shared" si="2"/>
        <v>FB_Temp_DEBearing</v>
      </c>
    </row>
    <row r="14" spans="1:12" x14ac:dyDescent="0.25">
      <c r="A14" s="2">
        <v>10</v>
      </c>
      <c r="B14" s="3" t="s">
        <v>25</v>
      </c>
      <c r="C14" s="2" t="s">
        <v>26</v>
      </c>
      <c r="D14" s="2" t="s">
        <v>24</v>
      </c>
      <c r="E14" s="3" t="s">
        <v>1353</v>
      </c>
      <c r="G14" s="18"/>
      <c r="K14" s="7" t="str">
        <f t="shared" si="0"/>
        <v>Pump1</v>
      </c>
      <c r="L14" s="7" t="str">
        <f t="shared" si="2"/>
        <v>FB_Temp_NDEBearing</v>
      </c>
    </row>
    <row r="15" spans="1:12" x14ac:dyDescent="0.25">
      <c r="A15" s="2">
        <v>11</v>
      </c>
      <c r="B15" s="3" t="s">
        <v>27</v>
      </c>
      <c r="C15" s="2" t="s">
        <v>28</v>
      </c>
      <c r="D15" s="2" t="s">
        <v>24</v>
      </c>
      <c r="E15" s="3" t="s">
        <v>1308</v>
      </c>
      <c r="G15" s="18"/>
      <c r="K15" s="7" t="str">
        <f t="shared" si="0"/>
        <v>Pump1</v>
      </c>
      <c r="L15" s="7" t="str">
        <f t="shared" si="2"/>
        <v>FB_Temp_PhaseA</v>
      </c>
    </row>
    <row r="16" spans="1:12" x14ac:dyDescent="0.25">
      <c r="A16" s="2">
        <v>12</v>
      </c>
      <c r="B16" s="3" t="s">
        <v>29</v>
      </c>
      <c r="C16" s="2" t="s">
        <v>30</v>
      </c>
      <c r="D16" s="2" t="s">
        <v>24</v>
      </c>
      <c r="E16" s="3" t="s">
        <v>1309</v>
      </c>
      <c r="G16" s="18"/>
      <c r="K16" s="7" t="str">
        <f t="shared" si="0"/>
        <v>Pump1</v>
      </c>
      <c r="L16" s="7" t="str">
        <f t="shared" si="2"/>
        <v>FB_Temp_PhaseB</v>
      </c>
    </row>
    <row r="17" spans="1:12" x14ac:dyDescent="0.25">
      <c r="A17" s="2">
        <v>13</v>
      </c>
      <c r="B17" s="3" t="s">
        <v>31</v>
      </c>
      <c r="C17" s="2" t="s">
        <v>32</v>
      </c>
      <c r="D17" s="2" t="s">
        <v>24</v>
      </c>
      <c r="E17" s="3" t="s">
        <v>1310</v>
      </c>
      <c r="G17" s="18"/>
      <c r="K17" s="7" t="str">
        <f t="shared" si="0"/>
        <v>Pump1</v>
      </c>
      <c r="L17" s="7" t="str">
        <f t="shared" si="2"/>
        <v>FB_Temp_PhaseC</v>
      </c>
    </row>
    <row r="18" spans="1:12" x14ac:dyDescent="0.25">
      <c r="A18" s="2">
        <v>14</v>
      </c>
      <c r="B18" s="3" t="s">
        <v>33</v>
      </c>
      <c r="C18" s="2" t="s">
        <v>34</v>
      </c>
      <c r="D18" s="2" t="s">
        <v>35</v>
      </c>
      <c r="E18" s="3" t="s">
        <v>1315</v>
      </c>
      <c r="G18" s="18"/>
      <c r="K18" s="7" t="str">
        <f t="shared" si="0"/>
        <v>Meter1</v>
      </c>
      <c r="L18" s="7" t="str">
        <f t="shared" si="2"/>
        <v>U1</v>
      </c>
    </row>
    <row r="19" spans="1:12" x14ac:dyDescent="0.25">
      <c r="A19" s="2">
        <v>15</v>
      </c>
      <c r="B19" s="3" t="s">
        <v>36</v>
      </c>
      <c r="C19" s="2" t="s">
        <v>37</v>
      </c>
      <c r="D19" s="2" t="s">
        <v>35</v>
      </c>
      <c r="E19" s="3" t="s">
        <v>1316</v>
      </c>
      <c r="G19" s="18"/>
      <c r="K19" s="7" t="str">
        <f t="shared" si="0"/>
        <v>Meter1</v>
      </c>
      <c r="L19" s="7" t="str">
        <f t="shared" si="2"/>
        <v>U2</v>
      </c>
    </row>
    <row r="20" spans="1:12" x14ac:dyDescent="0.25">
      <c r="A20" s="2">
        <v>16</v>
      </c>
      <c r="B20" s="3" t="s">
        <v>38</v>
      </c>
      <c r="C20" s="2" t="s">
        <v>39</v>
      </c>
      <c r="D20" s="2" t="s">
        <v>35</v>
      </c>
      <c r="E20" s="3" t="s">
        <v>1317</v>
      </c>
      <c r="G20" s="18"/>
      <c r="K20" s="7" t="str">
        <f t="shared" si="0"/>
        <v>Meter1</v>
      </c>
      <c r="L20" s="7" t="str">
        <f t="shared" si="2"/>
        <v>U3</v>
      </c>
    </row>
    <row r="21" spans="1:12" x14ac:dyDescent="0.25">
      <c r="A21" s="2">
        <v>17</v>
      </c>
      <c r="B21" s="3" t="s">
        <v>40</v>
      </c>
      <c r="C21" s="2" t="s">
        <v>41</v>
      </c>
      <c r="D21" s="2" t="s">
        <v>35</v>
      </c>
      <c r="E21" s="3" t="s">
        <v>1318</v>
      </c>
      <c r="G21" s="18"/>
      <c r="K21" s="7" t="str">
        <f t="shared" si="0"/>
        <v>Meter1</v>
      </c>
      <c r="L21" s="7" t="str">
        <f t="shared" si="2"/>
        <v>U_Ph</v>
      </c>
    </row>
    <row r="22" spans="1:12" x14ac:dyDescent="0.25">
      <c r="A22" s="2">
        <v>18</v>
      </c>
      <c r="B22" s="3" t="s">
        <v>42</v>
      </c>
      <c r="C22" s="2" t="s">
        <v>43</v>
      </c>
      <c r="D22" s="2" t="s">
        <v>35</v>
      </c>
      <c r="E22" s="3" t="s">
        <v>1319</v>
      </c>
      <c r="G22" s="18"/>
      <c r="K22" s="7" t="str">
        <f t="shared" si="0"/>
        <v>Meter1</v>
      </c>
      <c r="L22" s="7" t="str">
        <f t="shared" si="2"/>
        <v>U12</v>
      </c>
    </row>
    <row r="23" spans="1:12" x14ac:dyDescent="0.25">
      <c r="A23" s="2">
        <v>19</v>
      </c>
      <c r="B23" s="3" t="s">
        <v>44</v>
      </c>
      <c r="C23" s="2" t="s">
        <v>45</v>
      </c>
      <c r="D23" s="2" t="s">
        <v>35</v>
      </c>
      <c r="E23" s="3" t="s">
        <v>1320</v>
      </c>
      <c r="G23" s="18"/>
      <c r="K23" s="7" t="str">
        <f t="shared" si="0"/>
        <v>Meter1</v>
      </c>
      <c r="L23" s="7" t="str">
        <f t="shared" si="2"/>
        <v>U23</v>
      </c>
    </row>
    <row r="24" spans="1:12" x14ac:dyDescent="0.25">
      <c r="A24" s="2">
        <v>20</v>
      </c>
      <c r="B24" s="3" t="s">
        <v>46</v>
      </c>
      <c r="C24" s="2" t="s">
        <v>47</v>
      </c>
      <c r="D24" s="2" t="s">
        <v>35</v>
      </c>
      <c r="E24" s="3" t="s">
        <v>1321</v>
      </c>
      <c r="G24" s="18"/>
      <c r="K24" s="7" t="str">
        <f t="shared" si="0"/>
        <v>Meter1</v>
      </c>
      <c r="L24" s="7" t="str">
        <f t="shared" si="2"/>
        <v>U31</v>
      </c>
    </row>
    <row r="25" spans="1:12" x14ac:dyDescent="0.25">
      <c r="A25" s="2">
        <v>21</v>
      </c>
      <c r="B25" s="3" t="s">
        <v>48</v>
      </c>
      <c r="C25" s="2" t="s">
        <v>49</v>
      </c>
      <c r="D25" s="2" t="s">
        <v>35</v>
      </c>
      <c r="E25" s="3" t="s">
        <v>1322</v>
      </c>
      <c r="G25" s="18"/>
      <c r="K25" s="7" t="str">
        <f t="shared" si="0"/>
        <v>Meter1</v>
      </c>
      <c r="L25" s="7" t="str">
        <f t="shared" si="2"/>
        <v>Uline</v>
      </c>
    </row>
    <row r="26" spans="1:12" x14ac:dyDescent="0.25">
      <c r="A26" s="2">
        <v>22</v>
      </c>
      <c r="B26" s="3" t="s">
        <v>50</v>
      </c>
      <c r="C26" s="2" t="s">
        <v>51</v>
      </c>
      <c r="D26" s="2" t="s">
        <v>35</v>
      </c>
      <c r="E26" s="3" t="s">
        <v>1312</v>
      </c>
      <c r="G26" s="18"/>
      <c r="H26" s="7"/>
      <c r="K26" s="7" t="str">
        <f t="shared" si="0"/>
        <v>Meter1</v>
      </c>
      <c r="L26" s="7" t="str">
        <f t="shared" si="2"/>
        <v>I1</v>
      </c>
    </row>
    <row r="27" spans="1:12" x14ac:dyDescent="0.25">
      <c r="A27" s="2">
        <v>23</v>
      </c>
      <c r="B27" s="3" t="s">
        <v>52</v>
      </c>
      <c r="C27" s="2" t="s">
        <v>53</v>
      </c>
      <c r="D27" s="2" t="s">
        <v>35</v>
      </c>
      <c r="E27" s="3" t="s">
        <v>1313</v>
      </c>
      <c r="G27" s="18"/>
      <c r="H27" s="7"/>
      <c r="K27" s="7" t="str">
        <f t="shared" si="0"/>
        <v>Meter1</v>
      </c>
      <c r="L27" s="7" t="str">
        <f t="shared" si="2"/>
        <v>I2</v>
      </c>
    </row>
    <row r="28" spans="1:12" x14ac:dyDescent="0.25">
      <c r="A28" s="2">
        <v>24</v>
      </c>
      <c r="B28" s="3" t="s">
        <v>54</v>
      </c>
      <c r="C28" s="2" t="s">
        <v>55</v>
      </c>
      <c r="D28" s="2" t="s">
        <v>35</v>
      </c>
      <c r="E28" s="3" t="s">
        <v>1314</v>
      </c>
      <c r="G28" s="18"/>
      <c r="H28" s="7"/>
      <c r="K28" s="7" t="str">
        <f t="shared" si="0"/>
        <v>Meter1</v>
      </c>
      <c r="L28" s="7" t="str">
        <f t="shared" si="2"/>
        <v>I3</v>
      </c>
    </row>
    <row r="29" spans="1:12" x14ac:dyDescent="0.25">
      <c r="A29" s="2">
        <v>25</v>
      </c>
      <c r="B29" s="3" t="s">
        <v>56</v>
      </c>
      <c r="C29" s="2" t="s">
        <v>57</v>
      </c>
      <c r="D29" s="2" t="s">
        <v>35</v>
      </c>
      <c r="E29" s="3" t="s">
        <v>1311</v>
      </c>
      <c r="G29" s="18"/>
      <c r="H29" s="3" t="s">
        <v>1311</v>
      </c>
      <c r="K29" s="7" t="str">
        <f t="shared" si="0"/>
        <v>Meter1</v>
      </c>
      <c r="L29" s="7" t="str">
        <f t="shared" si="2"/>
        <v>I_ph</v>
      </c>
    </row>
    <row r="30" spans="1:12" x14ac:dyDescent="0.25">
      <c r="A30" s="2">
        <v>26</v>
      </c>
      <c r="B30" s="3" t="s">
        <v>58</v>
      </c>
      <c r="C30" s="2" t="s">
        <v>59</v>
      </c>
      <c r="D30" s="2" t="s">
        <v>35</v>
      </c>
      <c r="E30" s="3" t="s">
        <v>1323</v>
      </c>
      <c r="G30" s="18"/>
      <c r="K30" s="7" t="str">
        <f t="shared" si="0"/>
        <v>Meter1</v>
      </c>
      <c r="L30" s="7" t="str">
        <f t="shared" si="2"/>
        <v>kw1</v>
      </c>
    </row>
    <row r="31" spans="1:12" x14ac:dyDescent="0.25">
      <c r="A31" s="2">
        <v>27</v>
      </c>
      <c r="B31" s="3" t="s">
        <v>60</v>
      </c>
      <c r="C31" s="2" t="s">
        <v>61</v>
      </c>
      <c r="D31" s="2" t="s">
        <v>35</v>
      </c>
      <c r="E31" s="3" t="s">
        <v>1324</v>
      </c>
      <c r="G31" s="18"/>
      <c r="K31" s="7" t="str">
        <f t="shared" si="0"/>
        <v>Meter1</v>
      </c>
      <c r="L31" s="7" t="str">
        <f t="shared" si="2"/>
        <v>kw2</v>
      </c>
    </row>
    <row r="32" spans="1:12" x14ac:dyDescent="0.25">
      <c r="A32" s="2">
        <v>28</v>
      </c>
      <c r="B32" s="3" t="s">
        <v>62</v>
      </c>
      <c r="C32" s="2" t="s">
        <v>63</v>
      </c>
      <c r="D32" s="2" t="s">
        <v>35</v>
      </c>
      <c r="E32" s="3" t="s">
        <v>1325</v>
      </c>
      <c r="G32" s="18"/>
      <c r="K32" s="7" t="str">
        <f t="shared" si="0"/>
        <v>Meter1</v>
      </c>
      <c r="L32" s="7" t="str">
        <f t="shared" si="2"/>
        <v>kw3</v>
      </c>
    </row>
    <row r="33" spans="1:12" x14ac:dyDescent="0.25">
      <c r="A33" s="2">
        <v>29</v>
      </c>
      <c r="B33" s="3" t="s">
        <v>64</v>
      </c>
      <c r="C33" s="2" t="s">
        <v>65</v>
      </c>
      <c r="D33" s="2" t="s">
        <v>35</v>
      </c>
      <c r="E33" s="3" t="s">
        <v>1326</v>
      </c>
      <c r="G33" s="18"/>
      <c r="K33" s="7" t="str">
        <f t="shared" si="0"/>
        <v>Meter1</v>
      </c>
      <c r="L33" s="7" t="str">
        <f t="shared" si="2"/>
        <v>kva1</v>
      </c>
    </row>
    <row r="34" spans="1:12" x14ac:dyDescent="0.25">
      <c r="A34" s="2">
        <v>30</v>
      </c>
      <c r="B34" s="3" t="s">
        <v>66</v>
      </c>
      <c r="C34" s="2" t="s">
        <v>67</v>
      </c>
      <c r="D34" s="2" t="s">
        <v>35</v>
      </c>
      <c r="E34" s="3" t="s">
        <v>1327</v>
      </c>
      <c r="G34" s="18"/>
      <c r="K34" s="7" t="str">
        <f t="shared" si="0"/>
        <v>Meter1</v>
      </c>
      <c r="L34" s="7" t="str">
        <f t="shared" si="2"/>
        <v>kva2</v>
      </c>
    </row>
    <row r="35" spans="1:12" x14ac:dyDescent="0.25">
      <c r="A35" s="2">
        <v>31</v>
      </c>
      <c r="B35" s="3" t="s">
        <v>68</v>
      </c>
      <c r="C35" s="2" t="s">
        <v>69</v>
      </c>
      <c r="D35" s="2" t="s">
        <v>35</v>
      </c>
      <c r="E35" s="3" t="s">
        <v>1328</v>
      </c>
      <c r="G35" s="18"/>
      <c r="K35" s="7" t="str">
        <f t="shared" si="0"/>
        <v>Meter1</v>
      </c>
      <c r="L35" s="7" t="str">
        <f t="shared" si="2"/>
        <v>kva3</v>
      </c>
    </row>
    <row r="36" spans="1:12" x14ac:dyDescent="0.25">
      <c r="A36" s="2">
        <v>32</v>
      </c>
      <c r="B36" s="3" t="s">
        <v>70</v>
      </c>
      <c r="C36" s="2" t="s">
        <v>71</v>
      </c>
      <c r="D36" s="2" t="s">
        <v>35</v>
      </c>
      <c r="E36" s="3" t="s">
        <v>1329</v>
      </c>
      <c r="G36" s="18"/>
      <c r="K36" s="7" t="str">
        <f t="shared" si="0"/>
        <v>Meter1</v>
      </c>
      <c r="L36" s="7" t="str">
        <f t="shared" si="2"/>
        <v>kvar1</v>
      </c>
    </row>
    <row r="37" spans="1:12" x14ac:dyDescent="0.25">
      <c r="A37" s="2">
        <v>33</v>
      </c>
      <c r="B37" s="3" t="s">
        <v>72</v>
      </c>
      <c r="C37" s="2" t="s">
        <v>73</v>
      </c>
      <c r="D37" s="2" t="s">
        <v>35</v>
      </c>
      <c r="E37" s="3" t="s">
        <v>1330</v>
      </c>
      <c r="G37" s="18"/>
      <c r="K37" s="7" t="str">
        <f t="shared" si="0"/>
        <v>Meter1</v>
      </c>
      <c r="L37" s="7" t="str">
        <f t="shared" si="2"/>
        <v>kvar2</v>
      </c>
    </row>
    <row r="38" spans="1:12" x14ac:dyDescent="0.25">
      <c r="A38" s="2">
        <v>34</v>
      </c>
      <c r="B38" s="3" t="s">
        <v>74</v>
      </c>
      <c r="C38" s="2" t="s">
        <v>75</v>
      </c>
      <c r="D38" s="2" t="s">
        <v>35</v>
      </c>
      <c r="E38" s="3" t="s">
        <v>1331</v>
      </c>
      <c r="G38" s="18"/>
      <c r="K38" s="7" t="str">
        <f t="shared" si="0"/>
        <v>Meter1</v>
      </c>
      <c r="L38" s="7" t="str">
        <f t="shared" si="2"/>
        <v>kvar3</v>
      </c>
    </row>
    <row r="39" spans="1:12" x14ac:dyDescent="0.25">
      <c r="A39" s="2">
        <v>35</v>
      </c>
      <c r="B39" s="3" t="s">
        <v>76</v>
      </c>
      <c r="C39" s="2" t="s">
        <v>77</v>
      </c>
      <c r="D39" s="2" t="s">
        <v>35</v>
      </c>
      <c r="E39" s="3" t="s">
        <v>1332</v>
      </c>
      <c r="G39" s="18"/>
      <c r="K39" s="7" t="str">
        <f t="shared" si="0"/>
        <v>Meter1</v>
      </c>
      <c r="L39" s="7" t="str">
        <f t="shared" si="2"/>
        <v>total_kw</v>
      </c>
    </row>
    <row r="40" spans="1:12" x14ac:dyDescent="0.25">
      <c r="A40" s="2">
        <v>36</v>
      </c>
      <c r="B40" s="3" t="s">
        <v>78</v>
      </c>
      <c r="C40" s="2" t="s">
        <v>79</v>
      </c>
      <c r="D40" s="2" t="s">
        <v>35</v>
      </c>
      <c r="E40" s="3" t="s">
        <v>1333</v>
      </c>
      <c r="G40" s="18"/>
      <c r="K40" s="7" t="str">
        <f t="shared" si="0"/>
        <v>Meter1</v>
      </c>
      <c r="L40" s="7" t="str">
        <f t="shared" si="2"/>
        <v>total_kva</v>
      </c>
    </row>
    <row r="41" spans="1:12" x14ac:dyDescent="0.25">
      <c r="A41" s="2">
        <v>37</v>
      </c>
      <c r="B41" s="3" t="s">
        <v>80</v>
      </c>
      <c r="C41" s="2" t="s">
        <v>81</v>
      </c>
      <c r="D41" s="2" t="s">
        <v>35</v>
      </c>
      <c r="E41" s="3" t="s">
        <v>1334</v>
      </c>
      <c r="G41" s="18"/>
      <c r="K41" s="7" t="str">
        <f t="shared" si="0"/>
        <v>Meter1</v>
      </c>
      <c r="L41" s="7" t="str">
        <f t="shared" si="2"/>
        <v>total_kvar</v>
      </c>
    </row>
    <row r="42" spans="1:12" x14ac:dyDescent="0.25">
      <c r="A42" s="2">
        <v>38</v>
      </c>
      <c r="B42" s="3" t="s">
        <v>82</v>
      </c>
      <c r="C42" s="2" t="s">
        <v>83</v>
      </c>
      <c r="D42" s="2" t="s">
        <v>35</v>
      </c>
      <c r="E42" s="3" t="s">
        <v>1335</v>
      </c>
      <c r="G42" s="18"/>
      <c r="K42" s="7" t="str">
        <f t="shared" si="0"/>
        <v>Meter1</v>
      </c>
      <c r="L42" s="7" t="str">
        <f t="shared" si="2"/>
        <v>PF1</v>
      </c>
    </row>
    <row r="43" spans="1:12" x14ac:dyDescent="0.25">
      <c r="A43" s="2">
        <v>39</v>
      </c>
      <c r="B43" s="3" t="s">
        <v>84</v>
      </c>
      <c r="C43" s="2" t="s">
        <v>85</v>
      </c>
      <c r="D43" s="2" t="s">
        <v>35</v>
      </c>
      <c r="E43" s="3" t="s">
        <v>1336</v>
      </c>
      <c r="G43" s="18"/>
      <c r="K43" s="7" t="str">
        <f t="shared" si="0"/>
        <v>Meter1</v>
      </c>
      <c r="L43" s="7" t="str">
        <f t="shared" si="2"/>
        <v>PF2</v>
      </c>
    </row>
    <row r="44" spans="1:12" x14ac:dyDescent="0.25">
      <c r="A44" s="2">
        <v>40</v>
      </c>
      <c r="B44" s="3" t="s">
        <v>86</v>
      </c>
      <c r="C44" s="2" t="s">
        <v>87</v>
      </c>
      <c r="D44" s="2" t="s">
        <v>35</v>
      </c>
      <c r="E44" s="3" t="s">
        <v>1337</v>
      </c>
      <c r="G44" s="18"/>
      <c r="K44" s="7" t="str">
        <f t="shared" si="0"/>
        <v>Meter1</v>
      </c>
      <c r="L44" s="7" t="str">
        <f t="shared" si="2"/>
        <v>PF3</v>
      </c>
    </row>
    <row r="45" spans="1:12" x14ac:dyDescent="0.25">
      <c r="A45" s="2">
        <v>41</v>
      </c>
      <c r="B45" s="3" t="s">
        <v>88</v>
      </c>
      <c r="C45" s="2" t="s">
        <v>89</v>
      </c>
      <c r="D45" s="2" t="s">
        <v>35</v>
      </c>
      <c r="E45" s="3" t="s">
        <v>1338</v>
      </c>
      <c r="G45" s="18"/>
      <c r="K45" s="7" t="str">
        <f t="shared" si="0"/>
        <v>Meter1</v>
      </c>
      <c r="L45" s="7" t="str">
        <f t="shared" si="2"/>
        <v>PF</v>
      </c>
    </row>
    <row r="46" spans="1:12" x14ac:dyDescent="0.25">
      <c r="A46" s="2">
        <v>42</v>
      </c>
      <c r="B46" s="3" t="s">
        <v>90</v>
      </c>
      <c r="C46" s="2" t="s">
        <v>91</v>
      </c>
      <c r="D46" s="2" t="s">
        <v>35</v>
      </c>
      <c r="E46" s="3" t="s">
        <v>1339</v>
      </c>
      <c r="G46" s="18"/>
      <c r="K46" s="7" t="str">
        <f t="shared" si="0"/>
        <v>Meter1</v>
      </c>
      <c r="L46" s="7" t="str">
        <f t="shared" si="2"/>
        <v>freq</v>
      </c>
    </row>
    <row r="47" spans="1:12" x14ac:dyDescent="0.25">
      <c r="A47" s="2">
        <v>43</v>
      </c>
      <c r="B47" s="3" t="s">
        <v>92</v>
      </c>
      <c r="C47" s="2" t="s">
        <v>93</v>
      </c>
      <c r="D47" s="2" t="s">
        <v>35</v>
      </c>
      <c r="E47" s="3" t="s">
        <v>1340</v>
      </c>
      <c r="G47" s="18"/>
      <c r="K47" s="7" t="str">
        <f t="shared" si="0"/>
        <v>Meter1</v>
      </c>
      <c r="L47" s="7" t="str">
        <f t="shared" si="2"/>
        <v>kwh</v>
      </c>
    </row>
    <row r="48" spans="1:12" x14ac:dyDescent="0.25">
      <c r="A48" s="2">
        <v>44</v>
      </c>
      <c r="B48" s="3" t="s">
        <v>94</v>
      </c>
      <c r="C48" s="2" t="s">
        <v>95</v>
      </c>
      <c r="D48" s="2" t="s">
        <v>35</v>
      </c>
      <c r="E48" s="3" t="s">
        <v>1341</v>
      </c>
      <c r="G48" s="18"/>
      <c r="K48" s="7" t="str">
        <f t="shared" si="0"/>
        <v>Meter1</v>
      </c>
      <c r="L48" s="7" t="str">
        <f t="shared" si="2"/>
        <v>kvah</v>
      </c>
    </row>
    <row r="49" spans="1:12" x14ac:dyDescent="0.25">
      <c r="A49" s="2">
        <v>45</v>
      </c>
      <c r="B49" s="3" t="s">
        <v>96</v>
      </c>
      <c r="C49" s="2" t="s">
        <v>97</v>
      </c>
      <c r="D49" s="2" t="s">
        <v>35</v>
      </c>
      <c r="E49" s="3" t="s">
        <v>1342</v>
      </c>
      <c r="G49" s="18"/>
      <c r="K49" s="7" t="str">
        <f t="shared" si="0"/>
        <v>Meter1</v>
      </c>
      <c r="L49" s="7" t="str">
        <f t="shared" si="2"/>
        <v>kvarh</v>
      </c>
    </row>
    <row r="50" spans="1:12" x14ac:dyDescent="0.25">
      <c r="A50" s="2">
        <v>46</v>
      </c>
      <c r="B50" s="3" t="s">
        <v>98</v>
      </c>
      <c r="C50" s="2" t="s">
        <v>99</v>
      </c>
      <c r="D50" s="2" t="s">
        <v>7</v>
      </c>
      <c r="E50" s="3" t="s">
        <v>1343</v>
      </c>
      <c r="G50" s="18"/>
      <c r="K50" s="7" t="str">
        <f t="shared" si="0"/>
        <v>Pump1</v>
      </c>
      <c r="L50" s="7" t="str">
        <f t="shared" si="2"/>
        <v>Ctrl_run_Pump</v>
      </c>
    </row>
    <row r="51" spans="1:12" x14ac:dyDescent="0.25">
      <c r="A51" s="2">
        <v>47</v>
      </c>
      <c r="B51" s="3" t="s">
        <v>100</v>
      </c>
      <c r="C51" s="2" t="s">
        <v>101</v>
      </c>
      <c r="D51" s="2" t="s">
        <v>7</v>
      </c>
      <c r="E51" s="3" t="s">
        <v>1354</v>
      </c>
      <c r="G51" s="18"/>
      <c r="H51" t="s">
        <v>1496</v>
      </c>
      <c r="K51" s="7" t="str">
        <f t="shared" si="0"/>
        <v>Pump1</v>
      </c>
      <c r="L51" s="7" t="str">
        <f t="shared" si="2"/>
        <v>FB_Fault</v>
      </c>
    </row>
    <row r="52" spans="1:12" x14ac:dyDescent="0.25">
      <c r="A52" s="2">
        <v>48</v>
      </c>
      <c r="B52" s="3" t="s">
        <v>102</v>
      </c>
      <c r="C52" s="2" t="s">
        <v>103</v>
      </c>
      <c r="D52" s="2" t="s">
        <v>7</v>
      </c>
      <c r="E52" s="3" t="s">
        <v>1344</v>
      </c>
      <c r="G52" s="18"/>
      <c r="K52" s="7" t="str">
        <f t="shared" si="0"/>
        <v>Pump1</v>
      </c>
      <c r="L52" s="7" t="str">
        <f t="shared" si="2"/>
        <v>Ctrl_PB_Run</v>
      </c>
    </row>
    <row r="53" spans="1:12" x14ac:dyDescent="0.25">
      <c r="A53" s="2">
        <v>49</v>
      </c>
      <c r="B53" s="3" t="s">
        <v>104</v>
      </c>
      <c r="C53" s="2" t="s">
        <v>105</v>
      </c>
      <c r="D53" s="2" t="s">
        <v>7</v>
      </c>
      <c r="E53" s="3" t="s">
        <v>1345</v>
      </c>
      <c r="G53" s="18"/>
      <c r="K53" s="7" t="str">
        <f t="shared" si="0"/>
        <v>Pump1</v>
      </c>
      <c r="L53" s="7" t="str">
        <f t="shared" si="2"/>
        <v>Ctrl_PB_Stop</v>
      </c>
    </row>
    <row r="54" spans="1:12" x14ac:dyDescent="0.25">
      <c r="A54" s="2">
        <v>50</v>
      </c>
      <c r="B54" s="3" t="s">
        <v>106</v>
      </c>
      <c r="C54" s="2" t="s">
        <v>107</v>
      </c>
      <c r="D54" s="2" t="s">
        <v>7</v>
      </c>
      <c r="E54" s="3" t="s">
        <v>1346</v>
      </c>
      <c r="G54" s="18"/>
      <c r="K54" s="7" t="str">
        <f t="shared" si="0"/>
        <v>Pump1</v>
      </c>
      <c r="L54" s="7" t="str">
        <f t="shared" si="2"/>
        <v>Ctrl_PB_RST</v>
      </c>
    </row>
    <row r="55" spans="1:12" x14ac:dyDescent="0.25">
      <c r="A55" s="2">
        <v>51</v>
      </c>
      <c r="B55" s="3" t="s">
        <v>108</v>
      </c>
      <c r="C55" s="2" t="s">
        <v>109</v>
      </c>
      <c r="D55" s="2" t="s">
        <v>24</v>
      </c>
      <c r="E55" s="3" t="s">
        <v>1347</v>
      </c>
      <c r="G55" s="18"/>
      <c r="K55" s="7" t="str">
        <f t="shared" si="0"/>
        <v>Pump1</v>
      </c>
      <c r="L55" s="7" t="str">
        <f t="shared" si="2"/>
        <v>Time_Run_M</v>
      </c>
    </row>
    <row r="56" spans="1:12" x14ac:dyDescent="0.25">
      <c r="A56" s="2">
        <v>52</v>
      </c>
      <c r="B56" s="3" t="s">
        <v>110</v>
      </c>
      <c r="C56" s="2" t="s">
        <v>111</v>
      </c>
      <c r="D56" s="2" t="s">
        <v>24</v>
      </c>
      <c r="E56" s="3" t="s">
        <v>1348</v>
      </c>
      <c r="G56" s="18"/>
      <c r="K56" s="7" t="str">
        <f t="shared" si="0"/>
        <v>Pump1</v>
      </c>
      <c r="L56" s="7" t="str">
        <f t="shared" si="2"/>
        <v>Time_Run_H</v>
      </c>
    </row>
    <row r="57" spans="1:12" x14ac:dyDescent="0.25">
      <c r="A57" s="2">
        <v>53</v>
      </c>
      <c r="B57" s="3" t="s">
        <v>112</v>
      </c>
      <c r="C57" s="2" t="s">
        <v>113</v>
      </c>
      <c r="D57" s="2" t="s">
        <v>24</v>
      </c>
      <c r="E57" s="3" t="s">
        <v>1349</v>
      </c>
      <c r="G57" s="18"/>
      <c r="K57" s="7" t="str">
        <f t="shared" si="0"/>
        <v>Pump1</v>
      </c>
      <c r="L57" s="7" t="str">
        <f t="shared" si="2"/>
        <v>Total_Time_Run_M</v>
      </c>
    </row>
    <row r="58" spans="1:12" x14ac:dyDescent="0.25">
      <c r="A58" s="2">
        <v>54</v>
      </c>
      <c r="B58" s="3" t="s">
        <v>114</v>
      </c>
      <c r="C58" s="2" t="s">
        <v>115</v>
      </c>
      <c r="D58" s="2" t="s">
        <v>24</v>
      </c>
      <c r="E58" s="3" t="s">
        <v>1350</v>
      </c>
      <c r="G58" s="18"/>
      <c r="H58" t="s">
        <v>1407</v>
      </c>
      <c r="K58" s="7" t="str">
        <f t="shared" si="0"/>
        <v>Pump1</v>
      </c>
      <c r="L58" s="7" t="str">
        <f t="shared" si="2"/>
        <v>Total_Time_Run_H</v>
      </c>
    </row>
    <row r="59" spans="1:12" x14ac:dyDescent="0.25">
      <c r="A59" s="2">
        <v>55</v>
      </c>
      <c r="B59" s="3" t="s">
        <v>116</v>
      </c>
      <c r="C59" s="2" t="s">
        <v>117</v>
      </c>
      <c r="D59" s="2" t="s">
        <v>24</v>
      </c>
      <c r="E59" s="3" t="s">
        <v>1351</v>
      </c>
      <c r="G59" s="18"/>
      <c r="K59" s="7" t="str">
        <f t="shared" si="0"/>
        <v>Pump1</v>
      </c>
      <c r="L59" s="7" t="str">
        <f t="shared" si="2"/>
        <v>NumberOfclose</v>
      </c>
    </row>
    <row r="60" spans="1:12" x14ac:dyDescent="0.25">
      <c r="A60" s="2">
        <v>56</v>
      </c>
      <c r="B60" s="3" t="s">
        <v>118</v>
      </c>
      <c r="C60" s="2" t="s">
        <v>119</v>
      </c>
      <c r="D60" s="2" t="s">
        <v>7</v>
      </c>
      <c r="E60" s="3" t="s">
        <v>1355</v>
      </c>
      <c r="G60" s="18" t="s">
        <v>1490</v>
      </c>
      <c r="K60" s="7" t="str">
        <f t="shared" si="0"/>
        <v>Pump2</v>
      </c>
      <c r="L60" s="7" t="str">
        <f t="shared" si="2"/>
        <v>FB_auto</v>
      </c>
    </row>
    <row r="61" spans="1:12" x14ac:dyDescent="0.25">
      <c r="A61" s="2">
        <v>57</v>
      </c>
      <c r="B61" s="3" t="s">
        <v>120</v>
      </c>
      <c r="C61" s="2" t="s">
        <v>121</v>
      </c>
      <c r="D61" s="2" t="s">
        <v>7</v>
      </c>
      <c r="E61" s="3" t="s">
        <v>1306</v>
      </c>
      <c r="G61" s="18"/>
      <c r="H61" t="s">
        <v>1505</v>
      </c>
      <c r="K61" s="7" t="str">
        <f t="shared" si="0"/>
        <v>Pump2</v>
      </c>
      <c r="L61" s="7" t="str">
        <f t="shared" si="2"/>
        <v>FB_Run</v>
      </c>
    </row>
    <row r="62" spans="1:12" x14ac:dyDescent="0.25">
      <c r="A62" s="2">
        <v>58</v>
      </c>
      <c r="B62" s="3" t="s">
        <v>122</v>
      </c>
      <c r="C62" s="2" t="s">
        <v>123</v>
      </c>
      <c r="D62" s="2" t="s">
        <v>7</v>
      </c>
      <c r="E62" s="3" t="s">
        <v>1307</v>
      </c>
      <c r="G62" s="18"/>
      <c r="K62" s="7" t="str">
        <f t="shared" si="0"/>
        <v>Pump2</v>
      </c>
      <c r="L62" s="7" t="str">
        <f t="shared" si="2"/>
        <v>FB_Fault_V</v>
      </c>
    </row>
    <row r="63" spans="1:12" x14ac:dyDescent="0.25">
      <c r="A63" s="2">
        <v>59</v>
      </c>
      <c r="B63" s="3" t="s">
        <v>124</v>
      </c>
      <c r="C63" s="2" t="s">
        <v>125</v>
      </c>
      <c r="D63" s="2" t="s">
        <v>7</v>
      </c>
      <c r="E63" s="3" t="s">
        <v>1307</v>
      </c>
      <c r="G63" s="18"/>
      <c r="K63" s="7" t="str">
        <f t="shared" si="0"/>
        <v>Pump2</v>
      </c>
      <c r="L63" s="7" t="str">
        <f t="shared" si="2"/>
        <v>FB_Fault_SS</v>
      </c>
    </row>
    <row r="64" spans="1:12" x14ac:dyDescent="0.25">
      <c r="A64" s="2">
        <v>60</v>
      </c>
      <c r="B64" s="3" t="s">
        <v>126</v>
      </c>
      <c r="C64" s="2" t="s">
        <v>127</v>
      </c>
      <c r="D64" s="2" t="s">
        <v>7</v>
      </c>
      <c r="E64" s="3" t="s">
        <v>1356</v>
      </c>
      <c r="G64" s="18"/>
      <c r="K64" s="7" t="str">
        <f t="shared" si="0"/>
        <v>Pump2</v>
      </c>
      <c r="L64" s="7" t="str">
        <f t="shared" si="2"/>
        <v>FB_Fault_Temp</v>
      </c>
    </row>
    <row r="65" spans="1:12" x14ac:dyDescent="0.25">
      <c r="A65" s="2">
        <v>61</v>
      </c>
      <c r="B65" s="3" t="s">
        <v>128</v>
      </c>
      <c r="C65" s="2" t="s">
        <v>129</v>
      </c>
      <c r="D65" s="2" t="s">
        <v>7</v>
      </c>
      <c r="E65" s="3" t="s">
        <v>1307</v>
      </c>
      <c r="G65" s="18"/>
      <c r="K65" s="7" t="str">
        <f t="shared" si="0"/>
        <v>Pump2</v>
      </c>
      <c r="L65" s="7" t="str">
        <f t="shared" si="2"/>
        <v>FB_Fault_Curent</v>
      </c>
    </row>
    <row r="66" spans="1:12" x14ac:dyDescent="0.25">
      <c r="A66" s="2">
        <v>62</v>
      </c>
      <c r="B66" s="3" t="s">
        <v>130</v>
      </c>
      <c r="C66" s="2" t="s">
        <v>131</v>
      </c>
      <c r="D66" s="2" t="s">
        <v>7</v>
      </c>
      <c r="E66" s="3" t="s">
        <v>1357</v>
      </c>
      <c r="G66" s="18"/>
      <c r="K66" s="7" t="str">
        <f t="shared" si="0"/>
        <v>Pump2</v>
      </c>
      <c r="L66" s="7" t="str">
        <f t="shared" si="2"/>
        <v>Clock_1m</v>
      </c>
    </row>
    <row r="67" spans="1:12" x14ac:dyDescent="0.25">
      <c r="A67" s="2">
        <v>63</v>
      </c>
      <c r="B67" s="3" t="s">
        <v>132</v>
      </c>
      <c r="C67" s="2" t="s">
        <v>133</v>
      </c>
      <c r="D67" s="2" t="s">
        <v>7</v>
      </c>
      <c r="E67" s="3" t="s">
        <v>1358</v>
      </c>
      <c r="G67" s="18"/>
      <c r="H67" t="s">
        <v>1495</v>
      </c>
      <c r="K67" s="7" t="str">
        <f t="shared" si="0"/>
        <v>Pump2</v>
      </c>
      <c r="L67" s="7" t="str">
        <f t="shared" si="2"/>
        <v>FB_stop</v>
      </c>
    </row>
    <row r="68" spans="1:12" x14ac:dyDescent="0.25">
      <c r="A68" s="2">
        <v>8</v>
      </c>
      <c r="B68" s="12" t="s">
        <v>1434</v>
      </c>
      <c r="C68" s="2" t="s">
        <v>21</v>
      </c>
      <c r="D68" s="2" t="s">
        <v>7</v>
      </c>
      <c r="E68" s="3" t="s">
        <v>1393</v>
      </c>
      <c r="G68" s="18"/>
      <c r="H68" t="s">
        <v>1494</v>
      </c>
      <c r="K68" s="7" t="str">
        <f t="shared" si="0"/>
        <v>Pump2</v>
      </c>
      <c r="L68" s="7" t="str">
        <f t="shared" si="2"/>
        <v>FB_maintenance</v>
      </c>
    </row>
    <row r="69" spans="1:12" x14ac:dyDescent="0.25">
      <c r="A69" s="2">
        <v>64</v>
      </c>
      <c r="B69" s="3" t="s">
        <v>134</v>
      </c>
      <c r="C69" s="2" t="s">
        <v>135</v>
      </c>
      <c r="D69" s="2" t="s">
        <v>24</v>
      </c>
      <c r="E69" s="3" t="s">
        <v>1352</v>
      </c>
      <c r="G69" s="18"/>
      <c r="K69" s="7" t="str">
        <f t="shared" si="0"/>
        <v>Pump2</v>
      </c>
      <c r="L69" s="7" t="str">
        <f t="shared" si="2"/>
        <v>FB_Temp_DEBearing</v>
      </c>
    </row>
    <row r="70" spans="1:12" x14ac:dyDescent="0.25">
      <c r="A70" s="2">
        <v>65</v>
      </c>
      <c r="B70" s="3" t="s">
        <v>136</v>
      </c>
      <c r="C70" s="2" t="s">
        <v>137</v>
      </c>
      <c r="D70" s="2" t="s">
        <v>24</v>
      </c>
      <c r="E70" s="3" t="s">
        <v>1353</v>
      </c>
      <c r="G70" s="18"/>
      <c r="K70" s="7" t="str">
        <f t="shared" si="0"/>
        <v>Pump2</v>
      </c>
      <c r="L70" s="7" t="str">
        <f t="shared" si="2"/>
        <v>FB_Temp_NDEBearing</v>
      </c>
    </row>
    <row r="71" spans="1:12" x14ac:dyDescent="0.25">
      <c r="A71" s="2">
        <v>66</v>
      </c>
      <c r="B71" s="3" t="s">
        <v>138</v>
      </c>
      <c r="C71" s="2" t="s">
        <v>139</v>
      </c>
      <c r="D71" s="2" t="s">
        <v>24</v>
      </c>
      <c r="E71" s="3" t="s">
        <v>1308</v>
      </c>
      <c r="G71" s="18"/>
      <c r="K71" s="7" t="str">
        <f t="shared" ref="K71:K135" si="3">LEFT(B71, SEARCH("_",B71 ) - 1)</f>
        <v>Pump2</v>
      </c>
      <c r="L71" s="7" t="str">
        <f t="shared" si="2"/>
        <v>FB_Temp_PhaseA</v>
      </c>
    </row>
    <row r="72" spans="1:12" x14ac:dyDescent="0.25">
      <c r="A72" s="2">
        <v>67</v>
      </c>
      <c r="B72" s="3" t="s">
        <v>140</v>
      </c>
      <c r="C72" s="2" t="s">
        <v>141</v>
      </c>
      <c r="D72" s="2" t="s">
        <v>24</v>
      </c>
      <c r="E72" s="3" t="s">
        <v>1309</v>
      </c>
      <c r="G72" s="18"/>
      <c r="K72" s="7" t="str">
        <f t="shared" si="3"/>
        <v>Pump2</v>
      </c>
      <c r="L72" s="7" t="str">
        <f t="shared" si="2"/>
        <v>FB_Temp_PhaseB</v>
      </c>
    </row>
    <row r="73" spans="1:12" x14ac:dyDescent="0.25">
      <c r="A73" s="2">
        <v>68</v>
      </c>
      <c r="B73" s="3" t="s">
        <v>142</v>
      </c>
      <c r="C73" s="2" t="s">
        <v>143</v>
      </c>
      <c r="D73" s="2" t="s">
        <v>24</v>
      </c>
      <c r="E73" s="3" t="s">
        <v>1310</v>
      </c>
      <c r="G73" s="18"/>
      <c r="K73" s="7" t="str">
        <f t="shared" si="3"/>
        <v>Pump2</v>
      </c>
      <c r="L73" s="7" t="str">
        <f t="shared" si="2"/>
        <v>FB_Temp_PhaseC</v>
      </c>
    </row>
    <row r="74" spans="1:12" x14ac:dyDescent="0.25">
      <c r="A74" s="2">
        <v>69</v>
      </c>
      <c r="B74" s="3" t="s">
        <v>144</v>
      </c>
      <c r="C74" s="2" t="s">
        <v>145</v>
      </c>
      <c r="D74" s="2" t="s">
        <v>35</v>
      </c>
      <c r="E74" s="3" t="s">
        <v>1315</v>
      </c>
      <c r="G74" s="18"/>
      <c r="K74" s="7" t="str">
        <f t="shared" si="3"/>
        <v>Meter2</v>
      </c>
      <c r="L74" s="7" t="str">
        <f t="shared" si="2"/>
        <v>U1</v>
      </c>
    </row>
    <row r="75" spans="1:12" x14ac:dyDescent="0.25">
      <c r="A75" s="2">
        <v>70</v>
      </c>
      <c r="B75" s="3" t="s">
        <v>146</v>
      </c>
      <c r="C75" s="2" t="s">
        <v>147</v>
      </c>
      <c r="D75" s="2" t="s">
        <v>35</v>
      </c>
      <c r="E75" s="3" t="s">
        <v>1316</v>
      </c>
      <c r="G75" s="18"/>
      <c r="K75" s="7" t="str">
        <f t="shared" si="3"/>
        <v>Meter2</v>
      </c>
      <c r="L75" s="7" t="str">
        <f t="shared" si="2"/>
        <v>U2</v>
      </c>
    </row>
    <row r="76" spans="1:12" x14ac:dyDescent="0.25">
      <c r="A76" s="2">
        <v>71</v>
      </c>
      <c r="B76" s="3" t="s">
        <v>148</v>
      </c>
      <c r="C76" s="2" t="s">
        <v>149</v>
      </c>
      <c r="D76" s="2" t="s">
        <v>35</v>
      </c>
      <c r="E76" s="3" t="s">
        <v>1317</v>
      </c>
      <c r="G76" s="18"/>
      <c r="K76" s="7" t="str">
        <f t="shared" si="3"/>
        <v>Meter2</v>
      </c>
      <c r="L76" s="7" t="str">
        <f t="shared" ref="L76:L140" si="4">RIGHT(B76, LEN(B76)-SEARCH("_",B76 ))</f>
        <v>U3</v>
      </c>
    </row>
    <row r="77" spans="1:12" x14ac:dyDescent="0.25">
      <c r="A77" s="2">
        <v>72</v>
      </c>
      <c r="B77" s="3" t="s">
        <v>150</v>
      </c>
      <c r="C77" s="2" t="s">
        <v>151</v>
      </c>
      <c r="D77" s="2" t="s">
        <v>35</v>
      </c>
      <c r="E77" s="3" t="s">
        <v>1318</v>
      </c>
      <c r="G77" s="18"/>
      <c r="K77" s="7" t="str">
        <f t="shared" si="3"/>
        <v>Meter2</v>
      </c>
      <c r="L77" s="7" t="str">
        <f t="shared" si="4"/>
        <v>U_Ph</v>
      </c>
    </row>
    <row r="78" spans="1:12" x14ac:dyDescent="0.25">
      <c r="A78" s="2">
        <v>73</v>
      </c>
      <c r="B78" s="3" t="s">
        <v>152</v>
      </c>
      <c r="C78" s="2" t="s">
        <v>153</v>
      </c>
      <c r="D78" s="2" t="s">
        <v>35</v>
      </c>
      <c r="E78" s="3" t="s">
        <v>1319</v>
      </c>
      <c r="G78" s="18"/>
      <c r="K78" s="7" t="str">
        <f t="shared" si="3"/>
        <v>Meter2</v>
      </c>
      <c r="L78" s="7" t="str">
        <f t="shared" si="4"/>
        <v>U12</v>
      </c>
    </row>
    <row r="79" spans="1:12" x14ac:dyDescent="0.25">
      <c r="A79" s="2">
        <v>74</v>
      </c>
      <c r="B79" s="3" t="s">
        <v>154</v>
      </c>
      <c r="C79" s="2" t="s">
        <v>155</v>
      </c>
      <c r="D79" s="2" t="s">
        <v>35</v>
      </c>
      <c r="E79" s="3" t="s">
        <v>1320</v>
      </c>
      <c r="G79" s="18"/>
      <c r="K79" s="7" t="str">
        <f t="shared" si="3"/>
        <v>Meter2</v>
      </c>
      <c r="L79" s="7" t="str">
        <f t="shared" si="4"/>
        <v>U23</v>
      </c>
    </row>
    <row r="80" spans="1:12" x14ac:dyDescent="0.25">
      <c r="A80" s="2">
        <v>75</v>
      </c>
      <c r="B80" s="3" t="s">
        <v>156</v>
      </c>
      <c r="C80" s="2" t="s">
        <v>157</v>
      </c>
      <c r="D80" s="2" t="s">
        <v>35</v>
      </c>
      <c r="E80" s="3" t="s">
        <v>1321</v>
      </c>
      <c r="G80" s="18"/>
      <c r="K80" s="7" t="str">
        <f t="shared" si="3"/>
        <v>Meter2</v>
      </c>
      <c r="L80" s="7" t="str">
        <f t="shared" si="4"/>
        <v>U31</v>
      </c>
    </row>
    <row r="81" spans="1:12" x14ac:dyDescent="0.25">
      <c r="A81" s="2">
        <v>76</v>
      </c>
      <c r="B81" s="3" t="s">
        <v>158</v>
      </c>
      <c r="C81" s="2" t="s">
        <v>159</v>
      </c>
      <c r="D81" s="2" t="s">
        <v>35</v>
      </c>
      <c r="E81" s="3" t="s">
        <v>1322</v>
      </c>
      <c r="G81" s="18"/>
      <c r="K81" s="7" t="str">
        <f t="shared" si="3"/>
        <v>Meter2</v>
      </c>
      <c r="L81" s="7" t="str">
        <f t="shared" si="4"/>
        <v>Uline</v>
      </c>
    </row>
    <row r="82" spans="1:12" x14ac:dyDescent="0.25">
      <c r="A82" s="2">
        <v>77</v>
      </c>
      <c r="B82" s="3" t="s">
        <v>160</v>
      </c>
      <c r="C82" s="2" t="s">
        <v>161</v>
      </c>
      <c r="D82" s="2" t="s">
        <v>35</v>
      </c>
      <c r="E82" s="3" t="s">
        <v>1312</v>
      </c>
      <c r="G82" s="18"/>
      <c r="H82" s="7"/>
      <c r="K82" s="7" t="str">
        <f t="shared" si="3"/>
        <v>Meter2</v>
      </c>
      <c r="L82" s="7" t="str">
        <f t="shared" si="4"/>
        <v>I1</v>
      </c>
    </row>
    <row r="83" spans="1:12" x14ac:dyDescent="0.25">
      <c r="A83" s="2">
        <v>78</v>
      </c>
      <c r="B83" s="3" t="s">
        <v>162</v>
      </c>
      <c r="C83" s="2" t="s">
        <v>163</v>
      </c>
      <c r="D83" s="2" t="s">
        <v>35</v>
      </c>
      <c r="E83" s="3" t="s">
        <v>1313</v>
      </c>
      <c r="G83" s="18"/>
      <c r="H83" s="7"/>
      <c r="K83" s="7" t="str">
        <f t="shared" si="3"/>
        <v>Meter2</v>
      </c>
      <c r="L83" s="7" t="str">
        <f t="shared" si="4"/>
        <v>I2</v>
      </c>
    </row>
    <row r="84" spans="1:12" x14ac:dyDescent="0.25">
      <c r="A84" s="2">
        <v>79</v>
      </c>
      <c r="B84" s="3" t="s">
        <v>164</v>
      </c>
      <c r="C84" s="2" t="s">
        <v>165</v>
      </c>
      <c r="D84" s="2" t="s">
        <v>35</v>
      </c>
      <c r="E84" s="3" t="s">
        <v>1314</v>
      </c>
      <c r="G84" s="18"/>
      <c r="H84" s="7"/>
      <c r="K84" s="7" t="str">
        <f t="shared" si="3"/>
        <v>Meter2</v>
      </c>
      <c r="L84" s="7" t="str">
        <f t="shared" si="4"/>
        <v>I3</v>
      </c>
    </row>
    <row r="85" spans="1:12" x14ac:dyDescent="0.25">
      <c r="A85" s="2">
        <v>80</v>
      </c>
      <c r="B85" s="3" t="s">
        <v>166</v>
      </c>
      <c r="C85" s="2" t="s">
        <v>167</v>
      </c>
      <c r="D85" s="2" t="s">
        <v>35</v>
      </c>
      <c r="E85" s="3" t="s">
        <v>1311</v>
      </c>
      <c r="G85" s="18"/>
      <c r="H85" s="3" t="s">
        <v>1311</v>
      </c>
      <c r="K85" s="7" t="str">
        <f t="shared" si="3"/>
        <v>Meter2</v>
      </c>
      <c r="L85" s="7" t="str">
        <f t="shared" si="4"/>
        <v>I_ph</v>
      </c>
    </row>
    <row r="86" spans="1:12" x14ac:dyDescent="0.25">
      <c r="A86" s="2">
        <v>81</v>
      </c>
      <c r="B86" s="3" t="s">
        <v>168</v>
      </c>
      <c r="C86" s="2" t="s">
        <v>169</v>
      </c>
      <c r="D86" s="2" t="s">
        <v>35</v>
      </c>
      <c r="E86" s="3" t="s">
        <v>1323</v>
      </c>
      <c r="G86" s="18"/>
      <c r="K86" s="7" t="str">
        <f t="shared" si="3"/>
        <v>Meter2</v>
      </c>
      <c r="L86" s="7" t="str">
        <f t="shared" si="4"/>
        <v>kw1</v>
      </c>
    </row>
    <row r="87" spans="1:12" x14ac:dyDescent="0.25">
      <c r="A87" s="2">
        <v>82</v>
      </c>
      <c r="B87" s="3" t="s">
        <v>170</v>
      </c>
      <c r="C87" s="2" t="s">
        <v>171</v>
      </c>
      <c r="D87" s="2" t="s">
        <v>35</v>
      </c>
      <c r="E87" s="3" t="s">
        <v>1324</v>
      </c>
      <c r="G87" s="18"/>
      <c r="K87" s="7" t="str">
        <f t="shared" si="3"/>
        <v>Meter2</v>
      </c>
      <c r="L87" s="7" t="str">
        <f t="shared" si="4"/>
        <v>kw2</v>
      </c>
    </row>
    <row r="88" spans="1:12" x14ac:dyDescent="0.25">
      <c r="A88" s="2">
        <v>83</v>
      </c>
      <c r="B88" s="3" t="s">
        <v>172</v>
      </c>
      <c r="C88" s="2" t="s">
        <v>173</v>
      </c>
      <c r="D88" s="2" t="s">
        <v>35</v>
      </c>
      <c r="E88" s="3" t="s">
        <v>1325</v>
      </c>
      <c r="G88" s="18"/>
      <c r="K88" s="7" t="str">
        <f t="shared" si="3"/>
        <v>Meter2</v>
      </c>
      <c r="L88" s="7" t="str">
        <f t="shared" si="4"/>
        <v>kw3</v>
      </c>
    </row>
    <row r="89" spans="1:12" x14ac:dyDescent="0.25">
      <c r="A89" s="2">
        <v>84</v>
      </c>
      <c r="B89" s="3" t="s">
        <v>174</v>
      </c>
      <c r="C89" s="2" t="s">
        <v>175</v>
      </c>
      <c r="D89" s="2" t="s">
        <v>35</v>
      </c>
      <c r="E89" s="3" t="s">
        <v>1326</v>
      </c>
      <c r="G89" s="18"/>
      <c r="K89" s="7" t="str">
        <f t="shared" si="3"/>
        <v>Meter2</v>
      </c>
      <c r="L89" s="7" t="str">
        <f t="shared" si="4"/>
        <v>kva1</v>
      </c>
    </row>
    <row r="90" spans="1:12" x14ac:dyDescent="0.25">
      <c r="A90" s="2">
        <v>85</v>
      </c>
      <c r="B90" s="3" t="s">
        <v>176</v>
      </c>
      <c r="C90" s="2" t="s">
        <v>177</v>
      </c>
      <c r="D90" s="2" t="s">
        <v>35</v>
      </c>
      <c r="E90" s="3" t="s">
        <v>1327</v>
      </c>
      <c r="G90" s="18"/>
      <c r="K90" s="7" t="str">
        <f t="shared" si="3"/>
        <v>Meter2</v>
      </c>
      <c r="L90" s="7" t="str">
        <f t="shared" si="4"/>
        <v>kva2</v>
      </c>
    </row>
    <row r="91" spans="1:12" x14ac:dyDescent="0.25">
      <c r="A91" s="2">
        <v>86</v>
      </c>
      <c r="B91" s="3" t="s">
        <v>178</v>
      </c>
      <c r="C91" s="2" t="s">
        <v>179</v>
      </c>
      <c r="D91" s="2" t="s">
        <v>35</v>
      </c>
      <c r="E91" s="3" t="s">
        <v>1328</v>
      </c>
      <c r="G91" s="18"/>
      <c r="K91" s="7" t="str">
        <f t="shared" si="3"/>
        <v>Meter2</v>
      </c>
      <c r="L91" s="7" t="str">
        <f t="shared" si="4"/>
        <v>kva3</v>
      </c>
    </row>
    <row r="92" spans="1:12" x14ac:dyDescent="0.25">
      <c r="A92" s="2">
        <v>87</v>
      </c>
      <c r="B92" s="3" t="s">
        <v>180</v>
      </c>
      <c r="C92" s="2" t="s">
        <v>181</v>
      </c>
      <c r="D92" s="2" t="s">
        <v>35</v>
      </c>
      <c r="E92" s="3" t="s">
        <v>1329</v>
      </c>
      <c r="G92" s="18"/>
      <c r="K92" s="7" t="str">
        <f t="shared" si="3"/>
        <v>Meter2</v>
      </c>
      <c r="L92" s="7" t="str">
        <f t="shared" si="4"/>
        <v>kvar1</v>
      </c>
    </row>
    <row r="93" spans="1:12" x14ac:dyDescent="0.25">
      <c r="A93" s="2">
        <v>88</v>
      </c>
      <c r="B93" s="3" t="s">
        <v>182</v>
      </c>
      <c r="C93" s="2" t="s">
        <v>183</v>
      </c>
      <c r="D93" s="2" t="s">
        <v>35</v>
      </c>
      <c r="E93" s="3" t="s">
        <v>1330</v>
      </c>
      <c r="G93" s="18"/>
      <c r="K93" s="7" t="str">
        <f t="shared" si="3"/>
        <v>Meter2</v>
      </c>
      <c r="L93" s="7" t="str">
        <f t="shared" si="4"/>
        <v>kvar2</v>
      </c>
    </row>
    <row r="94" spans="1:12" x14ac:dyDescent="0.25">
      <c r="A94" s="2">
        <v>89</v>
      </c>
      <c r="B94" s="3" t="s">
        <v>184</v>
      </c>
      <c r="C94" s="2" t="s">
        <v>185</v>
      </c>
      <c r="D94" s="2" t="s">
        <v>35</v>
      </c>
      <c r="E94" s="3" t="s">
        <v>1331</v>
      </c>
      <c r="G94" s="18"/>
      <c r="K94" s="7" t="str">
        <f t="shared" si="3"/>
        <v>Meter2</v>
      </c>
      <c r="L94" s="7" t="str">
        <f t="shared" si="4"/>
        <v>kvar3</v>
      </c>
    </row>
    <row r="95" spans="1:12" x14ac:dyDescent="0.25">
      <c r="A95" s="2">
        <v>90</v>
      </c>
      <c r="B95" s="3" t="s">
        <v>186</v>
      </c>
      <c r="C95" s="2" t="s">
        <v>187</v>
      </c>
      <c r="D95" s="2" t="s">
        <v>35</v>
      </c>
      <c r="E95" s="3" t="s">
        <v>1332</v>
      </c>
      <c r="G95" s="18"/>
      <c r="K95" s="7" t="str">
        <f t="shared" si="3"/>
        <v>Meter2</v>
      </c>
      <c r="L95" s="7" t="str">
        <f t="shared" si="4"/>
        <v>total_kw</v>
      </c>
    </row>
    <row r="96" spans="1:12" x14ac:dyDescent="0.25">
      <c r="A96" s="2">
        <v>91</v>
      </c>
      <c r="B96" s="3" t="s">
        <v>188</v>
      </c>
      <c r="C96" s="2" t="s">
        <v>189</v>
      </c>
      <c r="D96" s="2" t="s">
        <v>35</v>
      </c>
      <c r="E96" s="3" t="s">
        <v>1333</v>
      </c>
      <c r="G96" s="18"/>
      <c r="K96" s="7" t="str">
        <f t="shared" si="3"/>
        <v>Meter2</v>
      </c>
      <c r="L96" s="7" t="str">
        <f t="shared" si="4"/>
        <v>total_kva</v>
      </c>
    </row>
    <row r="97" spans="1:12" x14ac:dyDescent="0.25">
      <c r="A97" s="2">
        <v>92</v>
      </c>
      <c r="B97" s="3" t="s">
        <v>190</v>
      </c>
      <c r="C97" s="2" t="s">
        <v>191</v>
      </c>
      <c r="D97" s="2" t="s">
        <v>35</v>
      </c>
      <c r="E97" s="3" t="s">
        <v>1334</v>
      </c>
      <c r="G97" s="18"/>
      <c r="K97" s="7" t="str">
        <f t="shared" si="3"/>
        <v>Meter2</v>
      </c>
      <c r="L97" s="7" t="str">
        <f t="shared" si="4"/>
        <v>total_kvar</v>
      </c>
    </row>
    <row r="98" spans="1:12" x14ac:dyDescent="0.25">
      <c r="A98" s="2">
        <v>93</v>
      </c>
      <c r="B98" s="3" t="s">
        <v>192</v>
      </c>
      <c r="C98" s="2" t="s">
        <v>193</v>
      </c>
      <c r="D98" s="2" t="s">
        <v>35</v>
      </c>
      <c r="E98" s="3" t="s">
        <v>1335</v>
      </c>
      <c r="G98" s="18"/>
      <c r="K98" s="7" t="str">
        <f t="shared" si="3"/>
        <v>Meter2</v>
      </c>
      <c r="L98" s="7" t="str">
        <f t="shared" si="4"/>
        <v>PF1</v>
      </c>
    </row>
    <row r="99" spans="1:12" x14ac:dyDescent="0.25">
      <c r="A99" s="2">
        <v>94</v>
      </c>
      <c r="B99" s="3" t="s">
        <v>194</v>
      </c>
      <c r="C99" s="2" t="s">
        <v>195</v>
      </c>
      <c r="D99" s="2" t="s">
        <v>35</v>
      </c>
      <c r="E99" s="3" t="s">
        <v>1336</v>
      </c>
      <c r="G99" s="18"/>
      <c r="K99" s="7" t="str">
        <f t="shared" si="3"/>
        <v>Meter2</v>
      </c>
      <c r="L99" s="7" t="str">
        <f t="shared" si="4"/>
        <v>PF2</v>
      </c>
    </row>
    <row r="100" spans="1:12" x14ac:dyDescent="0.25">
      <c r="A100" s="2">
        <v>95</v>
      </c>
      <c r="B100" s="3" t="s">
        <v>196</v>
      </c>
      <c r="C100" s="2" t="s">
        <v>197</v>
      </c>
      <c r="D100" s="2" t="s">
        <v>35</v>
      </c>
      <c r="E100" s="3" t="s">
        <v>1337</v>
      </c>
      <c r="G100" s="18"/>
      <c r="K100" s="7" t="str">
        <f t="shared" si="3"/>
        <v>Meter2</v>
      </c>
      <c r="L100" s="7" t="str">
        <f t="shared" si="4"/>
        <v>PF3</v>
      </c>
    </row>
    <row r="101" spans="1:12" x14ac:dyDescent="0.25">
      <c r="A101" s="2">
        <v>96</v>
      </c>
      <c r="B101" s="3" t="s">
        <v>198</v>
      </c>
      <c r="C101" s="2" t="s">
        <v>199</v>
      </c>
      <c r="D101" s="2" t="s">
        <v>35</v>
      </c>
      <c r="E101" s="3" t="s">
        <v>1338</v>
      </c>
      <c r="G101" s="18"/>
      <c r="K101" s="7" t="str">
        <f t="shared" si="3"/>
        <v>Meter2</v>
      </c>
      <c r="L101" s="7" t="str">
        <f t="shared" si="4"/>
        <v>PF</v>
      </c>
    </row>
    <row r="102" spans="1:12" x14ac:dyDescent="0.25">
      <c r="A102" s="2">
        <v>97</v>
      </c>
      <c r="B102" s="3" t="s">
        <v>200</v>
      </c>
      <c r="C102" s="2" t="s">
        <v>201</v>
      </c>
      <c r="D102" s="2" t="s">
        <v>35</v>
      </c>
      <c r="E102" s="3" t="s">
        <v>1339</v>
      </c>
      <c r="G102" s="18"/>
      <c r="K102" s="7" t="str">
        <f t="shared" si="3"/>
        <v>Meter2</v>
      </c>
      <c r="L102" s="7" t="str">
        <f t="shared" si="4"/>
        <v>freq</v>
      </c>
    </row>
    <row r="103" spans="1:12" x14ac:dyDescent="0.25">
      <c r="A103" s="2">
        <v>98</v>
      </c>
      <c r="B103" s="3" t="s">
        <v>202</v>
      </c>
      <c r="C103" s="2" t="s">
        <v>203</v>
      </c>
      <c r="D103" s="2" t="s">
        <v>35</v>
      </c>
      <c r="E103" s="3" t="s">
        <v>1340</v>
      </c>
      <c r="G103" s="18"/>
      <c r="K103" s="7" t="str">
        <f t="shared" si="3"/>
        <v>Meter2</v>
      </c>
      <c r="L103" s="7" t="str">
        <f t="shared" si="4"/>
        <v>kwh</v>
      </c>
    </row>
    <row r="104" spans="1:12" x14ac:dyDescent="0.25">
      <c r="A104" s="2">
        <v>99</v>
      </c>
      <c r="B104" s="3" t="s">
        <v>204</v>
      </c>
      <c r="C104" s="2" t="s">
        <v>205</v>
      </c>
      <c r="D104" s="2" t="s">
        <v>35</v>
      </c>
      <c r="E104" s="3" t="s">
        <v>1341</v>
      </c>
      <c r="G104" s="18"/>
      <c r="K104" s="7" t="str">
        <f t="shared" si="3"/>
        <v>Meter2</v>
      </c>
      <c r="L104" s="7" t="str">
        <f t="shared" si="4"/>
        <v>kvah</v>
      </c>
    </row>
    <row r="105" spans="1:12" x14ac:dyDescent="0.25">
      <c r="A105" s="2">
        <v>100</v>
      </c>
      <c r="B105" s="3" t="s">
        <v>206</v>
      </c>
      <c r="C105" s="2" t="s">
        <v>207</v>
      </c>
      <c r="D105" s="2" t="s">
        <v>35</v>
      </c>
      <c r="E105" s="3" t="s">
        <v>1342</v>
      </c>
      <c r="G105" s="18"/>
      <c r="K105" s="7" t="str">
        <f t="shared" si="3"/>
        <v>Meter2</v>
      </c>
      <c r="L105" s="7" t="str">
        <f t="shared" si="4"/>
        <v>kvarh</v>
      </c>
    </row>
    <row r="106" spans="1:12" x14ac:dyDescent="0.25">
      <c r="A106" s="2">
        <v>101</v>
      </c>
      <c r="B106" s="3" t="s">
        <v>208</v>
      </c>
      <c r="C106" s="2" t="s">
        <v>209</v>
      </c>
      <c r="D106" s="2" t="s">
        <v>7</v>
      </c>
      <c r="E106" s="3" t="s">
        <v>1343</v>
      </c>
      <c r="G106" s="18"/>
      <c r="K106" s="7" t="str">
        <f t="shared" si="3"/>
        <v>Pump2</v>
      </c>
      <c r="L106" s="7" t="str">
        <f t="shared" si="4"/>
        <v>Ctrl_run_Pump</v>
      </c>
    </row>
    <row r="107" spans="1:12" x14ac:dyDescent="0.25">
      <c r="A107" s="2">
        <v>102</v>
      </c>
      <c r="B107" s="3" t="s">
        <v>210</v>
      </c>
      <c r="C107" s="2" t="s">
        <v>211</v>
      </c>
      <c r="D107" s="2" t="s">
        <v>7</v>
      </c>
      <c r="E107" s="3" t="s">
        <v>1354</v>
      </c>
      <c r="G107" s="18"/>
      <c r="H107" t="s">
        <v>1496</v>
      </c>
      <c r="K107" s="7" t="str">
        <f t="shared" si="3"/>
        <v>Pump2</v>
      </c>
      <c r="L107" s="7" t="str">
        <f t="shared" si="4"/>
        <v>FB_Fault</v>
      </c>
    </row>
    <row r="108" spans="1:12" x14ac:dyDescent="0.25">
      <c r="A108" s="2">
        <v>103</v>
      </c>
      <c r="B108" s="3" t="s">
        <v>212</v>
      </c>
      <c r="C108" s="2" t="s">
        <v>213</v>
      </c>
      <c r="D108" s="2" t="s">
        <v>7</v>
      </c>
      <c r="E108" s="3" t="s">
        <v>1344</v>
      </c>
      <c r="G108" s="18"/>
      <c r="K108" s="7" t="str">
        <f t="shared" si="3"/>
        <v>Pump2</v>
      </c>
      <c r="L108" s="7" t="str">
        <f t="shared" si="4"/>
        <v>Ctrl_PB_Run</v>
      </c>
    </row>
    <row r="109" spans="1:12" x14ac:dyDescent="0.25">
      <c r="A109" s="2">
        <v>104</v>
      </c>
      <c r="B109" s="3" t="s">
        <v>214</v>
      </c>
      <c r="C109" s="2" t="s">
        <v>215</v>
      </c>
      <c r="D109" s="2" t="s">
        <v>7</v>
      </c>
      <c r="E109" s="3" t="s">
        <v>1345</v>
      </c>
      <c r="G109" s="18"/>
      <c r="K109" s="7" t="str">
        <f t="shared" si="3"/>
        <v>Pump2</v>
      </c>
      <c r="L109" s="7" t="str">
        <f t="shared" si="4"/>
        <v>Ctrl_PB_Stop</v>
      </c>
    </row>
    <row r="110" spans="1:12" x14ac:dyDescent="0.25">
      <c r="A110" s="2">
        <v>105</v>
      </c>
      <c r="B110" s="3" t="s">
        <v>216</v>
      </c>
      <c r="C110" s="2" t="s">
        <v>217</v>
      </c>
      <c r="D110" s="2" t="s">
        <v>7</v>
      </c>
      <c r="E110" s="3" t="s">
        <v>1346</v>
      </c>
      <c r="G110" s="18"/>
      <c r="K110" s="7" t="str">
        <f t="shared" si="3"/>
        <v>Pump2</v>
      </c>
      <c r="L110" s="7" t="str">
        <f t="shared" si="4"/>
        <v>Ctrl_PB_RST</v>
      </c>
    </row>
    <row r="111" spans="1:12" x14ac:dyDescent="0.25">
      <c r="A111" s="2">
        <v>106</v>
      </c>
      <c r="B111" s="3" t="s">
        <v>218</v>
      </c>
      <c r="C111" s="2" t="s">
        <v>219</v>
      </c>
      <c r="D111" s="2" t="s">
        <v>24</v>
      </c>
      <c r="E111" s="3" t="s">
        <v>1347</v>
      </c>
      <c r="G111" s="18"/>
      <c r="K111" s="7" t="str">
        <f t="shared" si="3"/>
        <v>Pump2</v>
      </c>
      <c r="L111" s="7" t="str">
        <f t="shared" si="4"/>
        <v>Time_Run_M</v>
      </c>
    </row>
    <row r="112" spans="1:12" x14ac:dyDescent="0.25">
      <c r="A112" s="2">
        <v>107</v>
      </c>
      <c r="B112" s="3" t="s">
        <v>220</v>
      </c>
      <c r="C112" s="2" t="s">
        <v>221</v>
      </c>
      <c r="D112" s="2" t="s">
        <v>24</v>
      </c>
      <c r="E112" s="3" t="s">
        <v>1348</v>
      </c>
      <c r="G112" s="18"/>
      <c r="K112" s="7" t="str">
        <f t="shared" si="3"/>
        <v>Pump2</v>
      </c>
      <c r="L112" s="7" t="str">
        <f t="shared" si="4"/>
        <v>Time_Run_H</v>
      </c>
    </row>
    <row r="113" spans="1:12" x14ac:dyDescent="0.25">
      <c r="A113" s="2">
        <v>108</v>
      </c>
      <c r="B113" s="3" t="s">
        <v>222</v>
      </c>
      <c r="C113" s="2" t="s">
        <v>223</v>
      </c>
      <c r="D113" s="2" t="s">
        <v>24</v>
      </c>
      <c r="E113" s="3" t="s">
        <v>1349</v>
      </c>
      <c r="G113" s="18"/>
      <c r="K113" s="7" t="str">
        <f t="shared" si="3"/>
        <v>Pump2</v>
      </c>
      <c r="L113" s="7" t="str">
        <f t="shared" si="4"/>
        <v>Total_Time_Run_M</v>
      </c>
    </row>
    <row r="114" spans="1:12" x14ac:dyDescent="0.25">
      <c r="A114" s="2">
        <v>109</v>
      </c>
      <c r="B114" s="3" t="s">
        <v>224</v>
      </c>
      <c r="C114" s="2" t="s">
        <v>225</v>
      </c>
      <c r="D114" s="2" t="s">
        <v>24</v>
      </c>
      <c r="E114" s="3" t="s">
        <v>1350</v>
      </c>
      <c r="G114" s="18"/>
      <c r="H114" t="s">
        <v>1407</v>
      </c>
      <c r="K114" s="7" t="str">
        <f t="shared" si="3"/>
        <v>Pump2</v>
      </c>
      <c r="L114" s="7" t="str">
        <f t="shared" si="4"/>
        <v>Total_Time_Run_H</v>
      </c>
    </row>
    <row r="115" spans="1:12" x14ac:dyDescent="0.25">
      <c r="A115" s="2">
        <v>110</v>
      </c>
      <c r="B115" s="3" t="s">
        <v>226</v>
      </c>
      <c r="C115" s="2" t="s">
        <v>227</v>
      </c>
      <c r="D115" s="2" t="s">
        <v>24</v>
      </c>
      <c r="E115" s="3" t="s">
        <v>1351</v>
      </c>
      <c r="G115" s="18"/>
      <c r="K115" s="7" t="str">
        <f t="shared" si="3"/>
        <v>Pump2</v>
      </c>
      <c r="L115" s="7" t="str">
        <f t="shared" si="4"/>
        <v>NumberOfclose</v>
      </c>
    </row>
    <row r="116" spans="1:12" x14ac:dyDescent="0.25">
      <c r="A116" s="2">
        <v>111</v>
      </c>
      <c r="B116" s="3" t="s">
        <v>228</v>
      </c>
      <c r="C116" s="2" t="s">
        <v>229</v>
      </c>
      <c r="D116" s="2" t="s">
        <v>7</v>
      </c>
      <c r="E116" s="3" t="s">
        <v>1355</v>
      </c>
      <c r="G116" s="18" t="s">
        <v>1491</v>
      </c>
      <c r="K116" s="7" t="str">
        <f t="shared" si="3"/>
        <v>Pump3</v>
      </c>
      <c r="L116" s="7" t="str">
        <f t="shared" si="4"/>
        <v>FB_auto</v>
      </c>
    </row>
    <row r="117" spans="1:12" x14ac:dyDescent="0.25">
      <c r="A117" s="2">
        <v>112</v>
      </c>
      <c r="B117" s="3" t="s">
        <v>230</v>
      </c>
      <c r="C117" s="2" t="s">
        <v>231</v>
      </c>
      <c r="D117" s="2" t="s">
        <v>7</v>
      </c>
      <c r="E117" s="3" t="s">
        <v>1306</v>
      </c>
      <c r="G117" s="18"/>
      <c r="H117" t="s">
        <v>1505</v>
      </c>
      <c r="K117" s="7" t="str">
        <f t="shared" si="3"/>
        <v>Pump3</v>
      </c>
      <c r="L117" s="7" t="str">
        <f t="shared" si="4"/>
        <v>FB_Run</v>
      </c>
    </row>
    <row r="118" spans="1:12" x14ac:dyDescent="0.25">
      <c r="A118" s="2">
        <v>113</v>
      </c>
      <c r="B118" s="3" t="s">
        <v>232</v>
      </c>
      <c r="C118" s="2" t="s">
        <v>233</v>
      </c>
      <c r="D118" s="2" t="s">
        <v>7</v>
      </c>
      <c r="E118" s="3" t="s">
        <v>1307</v>
      </c>
      <c r="G118" s="18"/>
      <c r="K118" s="7" t="str">
        <f t="shared" si="3"/>
        <v>Pump3</v>
      </c>
      <c r="L118" s="7" t="str">
        <f t="shared" si="4"/>
        <v>FB_Fault_V</v>
      </c>
    </row>
    <row r="119" spans="1:12" x14ac:dyDescent="0.25">
      <c r="A119" s="2">
        <v>114</v>
      </c>
      <c r="B119" s="3" t="s">
        <v>234</v>
      </c>
      <c r="C119" s="2" t="s">
        <v>235</v>
      </c>
      <c r="D119" s="2" t="s">
        <v>7</v>
      </c>
      <c r="E119" s="3" t="s">
        <v>1307</v>
      </c>
      <c r="G119" s="18"/>
      <c r="K119" s="7" t="str">
        <f t="shared" si="3"/>
        <v>Pump3</v>
      </c>
      <c r="L119" s="7" t="str">
        <f t="shared" si="4"/>
        <v>FB_Fault_SS</v>
      </c>
    </row>
    <row r="120" spans="1:12" x14ac:dyDescent="0.25">
      <c r="A120" s="2">
        <v>115</v>
      </c>
      <c r="B120" s="3" t="s">
        <v>236</v>
      </c>
      <c r="C120" s="2" t="s">
        <v>237</v>
      </c>
      <c r="D120" s="2" t="s">
        <v>7</v>
      </c>
      <c r="E120" s="3" t="s">
        <v>1356</v>
      </c>
      <c r="G120" s="18"/>
      <c r="K120" s="7" t="str">
        <f t="shared" si="3"/>
        <v>Pump3</v>
      </c>
      <c r="L120" s="7" t="str">
        <f t="shared" si="4"/>
        <v>FB_Fault_Temp</v>
      </c>
    </row>
    <row r="121" spans="1:12" x14ac:dyDescent="0.25">
      <c r="A121" s="2">
        <v>116</v>
      </c>
      <c r="B121" s="3" t="s">
        <v>238</v>
      </c>
      <c r="C121" s="2" t="s">
        <v>239</v>
      </c>
      <c r="D121" s="2" t="s">
        <v>7</v>
      </c>
      <c r="E121" s="3" t="s">
        <v>1307</v>
      </c>
      <c r="G121" s="18"/>
      <c r="K121" s="7" t="str">
        <f t="shared" si="3"/>
        <v>Pump3</v>
      </c>
      <c r="L121" s="7" t="str">
        <f t="shared" si="4"/>
        <v>FB_Fault_Curent</v>
      </c>
    </row>
    <row r="122" spans="1:12" x14ac:dyDescent="0.25">
      <c r="A122" s="2">
        <v>117</v>
      </c>
      <c r="B122" s="3" t="s">
        <v>240</v>
      </c>
      <c r="C122" s="2" t="s">
        <v>241</v>
      </c>
      <c r="D122" s="2" t="s">
        <v>7</v>
      </c>
      <c r="E122" s="3" t="s">
        <v>1357</v>
      </c>
      <c r="G122" s="18"/>
      <c r="K122" s="7" t="str">
        <f t="shared" si="3"/>
        <v>Pump3</v>
      </c>
      <c r="L122" s="7" t="str">
        <f t="shared" si="4"/>
        <v>Clock_1m</v>
      </c>
    </row>
    <row r="123" spans="1:12" x14ac:dyDescent="0.25">
      <c r="A123" s="2">
        <v>118</v>
      </c>
      <c r="B123" s="3" t="s">
        <v>242</v>
      </c>
      <c r="C123" s="2" t="s">
        <v>243</v>
      </c>
      <c r="D123" s="2" t="s">
        <v>7</v>
      </c>
      <c r="E123" s="3" t="s">
        <v>1358</v>
      </c>
      <c r="G123" s="18"/>
      <c r="H123" t="s">
        <v>1495</v>
      </c>
      <c r="K123" s="7" t="str">
        <f t="shared" si="3"/>
        <v>Pump3</v>
      </c>
      <c r="L123" s="7" t="str">
        <f t="shared" si="4"/>
        <v>FB_stop</v>
      </c>
    </row>
    <row r="124" spans="1:12" x14ac:dyDescent="0.25">
      <c r="A124" s="2">
        <v>8</v>
      </c>
      <c r="B124" s="12" t="s">
        <v>1435</v>
      </c>
      <c r="C124" s="2" t="s">
        <v>21</v>
      </c>
      <c r="D124" s="2" t="s">
        <v>7</v>
      </c>
      <c r="E124" s="3" t="s">
        <v>1393</v>
      </c>
      <c r="G124" s="18"/>
      <c r="H124" t="s">
        <v>1494</v>
      </c>
      <c r="K124" s="7" t="str">
        <f t="shared" si="3"/>
        <v>Pump3</v>
      </c>
      <c r="L124" s="7" t="str">
        <f t="shared" si="4"/>
        <v>FB_maintenance</v>
      </c>
    </row>
    <row r="125" spans="1:12" x14ac:dyDescent="0.25">
      <c r="A125" s="2">
        <v>119</v>
      </c>
      <c r="B125" s="3" t="s">
        <v>244</v>
      </c>
      <c r="C125" s="2" t="s">
        <v>245</v>
      </c>
      <c r="D125" s="2" t="s">
        <v>24</v>
      </c>
      <c r="E125" s="3" t="s">
        <v>1352</v>
      </c>
      <c r="G125" s="18"/>
      <c r="K125" s="7" t="str">
        <f t="shared" si="3"/>
        <v>Pump3</v>
      </c>
      <c r="L125" s="7" t="str">
        <f t="shared" si="4"/>
        <v>FB_Temp_DEBearing</v>
      </c>
    </row>
    <row r="126" spans="1:12" x14ac:dyDescent="0.25">
      <c r="A126" s="2">
        <v>120</v>
      </c>
      <c r="B126" s="3" t="s">
        <v>246</v>
      </c>
      <c r="C126" s="2" t="s">
        <v>247</v>
      </c>
      <c r="D126" s="2" t="s">
        <v>24</v>
      </c>
      <c r="E126" s="3" t="s">
        <v>1353</v>
      </c>
      <c r="G126" s="18"/>
      <c r="K126" s="7" t="str">
        <f t="shared" si="3"/>
        <v>Pump3</v>
      </c>
      <c r="L126" s="7" t="str">
        <f t="shared" si="4"/>
        <v>FB_Temp_NDEBearing</v>
      </c>
    </row>
    <row r="127" spans="1:12" x14ac:dyDescent="0.25">
      <c r="A127" s="2">
        <v>121</v>
      </c>
      <c r="B127" s="3" t="s">
        <v>248</v>
      </c>
      <c r="C127" s="2" t="s">
        <v>249</v>
      </c>
      <c r="D127" s="2" t="s">
        <v>24</v>
      </c>
      <c r="E127" s="3" t="s">
        <v>1308</v>
      </c>
      <c r="G127" s="18"/>
      <c r="K127" s="7" t="str">
        <f t="shared" si="3"/>
        <v>Pump3</v>
      </c>
      <c r="L127" s="7" t="str">
        <f t="shared" si="4"/>
        <v>FB_Temp_PhaseA</v>
      </c>
    </row>
    <row r="128" spans="1:12" x14ac:dyDescent="0.25">
      <c r="A128" s="2">
        <v>122</v>
      </c>
      <c r="B128" s="3" t="s">
        <v>250</v>
      </c>
      <c r="C128" s="2" t="s">
        <v>251</v>
      </c>
      <c r="D128" s="2" t="s">
        <v>24</v>
      </c>
      <c r="E128" s="3" t="s">
        <v>1309</v>
      </c>
      <c r="G128" s="18"/>
      <c r="K128" s="7" t="str">
        <f t="shared" si="3"/>
        <v>Pump3</v>
      </c>
      <c r="L128" s="7" t="str">
        <f t="shared" si="4"/>
        <v>FB_Temp_PhaseB</v>
      </c>
    </row>
    <row r="129" spans="1:12" x14ac:dyDescent="0.25">
      <c r="A129" s="2">
        <v>123</v>
      </c>
      <c r="B129" s="3" t="s">
        <v>252</v>
      </c>
      <c r="C129" s="2" t="s">
        <v>253</v>
      </c>
      <c r="D129" s="2" t="s">
        <v>24</v>
      </c>
      <c r="E129" s="3" t="s">
        <v>1310</v>
      </c>
      <c r="G129" s="18"/>
      <c r="K129" s="7" t="str">
        <f t="shared" si="3"/>
        <v>Pump3</v>
      </c>
      <c r="L129" s="7" t="str">
        <f t="shared" si="4"/>
        <v>FB_Temp_PhaseC</v>
      </c>
    </row>
    <row r="130" spans="1:12" x14ac:dyDescent="0.25">
      <c r="A130" s="2">
        <v>124</v>
      </c>
      <c r="B130" s="3" t="s">
        <v>254</v>
      </c>
      <c r="C130" s="2" t="s">
        <v>255</v>
      </c>
      <c r="D130" s="2" t="s">
        <v>35</v>
      </c>
      <c r="E130" s="3" t="s">
        <v>1315</v>
      </c>
      <c r="G130" s="18"/>
      <c r="K130" s="7" t="str">
        <f t="shared" si="3"/>
        <v>Meter3</v>
      </c>
      <c r="L130" s="7" t="str">
        <f t="shared" si="4"/>
        <v>U1</v>
      </c>
    </row>
    <row r="131" spans="1:12" x14ac:dyDescent="0.25">
      <c r="A131" s="2">
        <v>125</v>
      </c>
      <c r="B131" s="3" t="s">
        <v>256</v>
      </c>
      <c r="C131" s="2" t="s">
        <v>257</v>
      </c>
      <c r="D131" s="2" t="s">
        <v>35</v>
      </c>
      <c r="E131" s="3" t="s">
        <v>1316</v>
      </c>
      <c r="G131" s="18"/>
      <c r="K131" s="7" t="str">
        <f t="shared" si="3"/>
        <v>Meter3</v>
      </c>
      <c r="L131" s="7" t="str">
        <f t="shared" si="4"/>
        <v>U2</v>
      </c>
    </row>
    <row r="132" spans="1:12" x14ac:dyDescent="0.25">
      <c r="A132" s="2">
        <v>126</v>
      </c>
      <c r="B132" s="3" t="s">
        <v>258</v>
      </c>
      <c r="C132" s="2" t="s">
        <v>259</v>
      </c>
      <c r="D132" s="2" t="s">
        <v>35</v>
      </c>
      <c r="E132" s="3" t="s">
        <v>1317</v>
      </c>
      <c r="G132" s="18"/>
      <c r="K132" s="7" t="str">
        <f t="shared" si="3"/>
        <v>Meter3</v>
      </c>
      <c r="L132" s="7" t="str">
        <f t="shared" si="4"/>
        <v>U3</v>
      </c>
    </row>
    <row r="133" spans="1:12" x14ac:dyDescent="0.25">
      <c r="A133" s="2">
        <v>127</v>
      </c>
      <c r="B133" s="3" t="s">
        <v>260</v>
      </c>
      <c r="C133" s="2" t="s">
        <v>261</v>
      </c>
      <c r="D133" s="2" t="s">
        <v>35</v>
      </c>
      <c r="E133" s="3" t="s">
        <v>1318</v>
      </c>
      <c r="G133" s="18"/>
      <c r="K133" s="7" t="str">
        <f t="shared" si="3"/>
        <v>Meter3</v>
      </c>
      <c r="L133" s="7" t="str">
        <f t="shared" si="4"/>
        <v>U_Ph</v>
      </c>
    </row>
    <row r="134" spans="1:12" x14ac:dyDescent="0.25">
      <c r="A134" s="2">
        <v>128</v>
      </c>
      <c r="B134" s="3" t="s">
        <v>262</v>
      </c>
      <c r="C134" s="2" t="s">
        <v>263</v>
      </c>
      <c r="D134" s="2" t="s">
        <v>35</v>
      </c>
      <c r="E134" s="3" t="s">
        <v>1319</v>
      </c>
      <c r="G134" s="18"/>
      <c r="K134" s="7" t="str">
        <f t="shared" si="3"/>
        <v>Meter3</v>
      </c>
      <c r="L134" s="7" t="str">
        <f t="shared" si="4"/>
        <v>U12</v>
      </c>
    </row>
    <row r="135" spans="1:12" x14ac:dyDescent="0.25">
      <c r="A135" s="2">
        <v>129</v>
      </c>
      <c r="B135" s="3" t="s">
        <v>264</v>
      </c>
      <c r="C135" s="2" t="s">
        <v>265</v>
      </c>
      <c r="D135" s="2" t="s">
        <v>35</v>
      </c>
      <c r="E135" s="3" t="s">
        <v>1320</v>
      </c>
      <c r="G135" s="18"/>
      <c r="K135" s="7" t="str">
        <f t="shared" si="3"/>
        <v>Meter3</v>
      </c>
      <c r="L135" s="7" t="str">
        <f t="shared" si="4"/>
        <v>U23</v>
      </c>
    </row>
    <row r="136" spans="1:12" x14ac:dyDescent="0.25">
      <c r="A136" s="2">
        <v>130</v>
      </c>
      <c r="B136" s="3" t="s">
        <v>266</v>
      </c>
      <c r="C136" s="2" t="s">
        <v>267</v>
      </c>
      <c r="D136" s="2" t="s">
        <v>35</v>
      </c>
      <c r="E136" s="3" t="s">
        <v>1321</v>
      </c>
      <c r="G136" s="18"/>
      <c r="K136" s="7" t="str">
        <f t="shared" ref="K136:K200" si="5">LEFT(B136, SEARCH("_",B136 ) - 1)</f>
        <v>Meter3</v>
      </c>
      <c r="L136" s="7" t="str">
        <f t="shared" si="4"/>
        <v>U31</v>
      </c>
    </row>
    <row r="137" spans="1:12" x14ac:dyDescent="0.25">
      <c r="A137" s="2">
        <v>131</v>
      </c>
      <c r="B137" s="3" t="s">
        <v>268</v>
      </c>
      <c r="C137" s="2" t="s">
        <v>269</v>
      </c>
      <c r="D137" s="2" t="s">
        <v>35</v>
      </c>
      <c r="E137" s="3" t="s">
        <v>1322</v>
      </c>
      <c r="G137" s="18"/>
      <c r="K137" s="7" t="str">
        <f t="shared" si="5"/>
        <v>Meter3</v>
      </c>
      <c r="L137" s="7" t="str">
        <f t="shared" si="4"/>
        <v>Uline</v>
      </c>
    </row>
    <row r="138" spans="1:12" x14ac:dyDescent="0.25">
      <c r="A138" s="2">
        <v>132</v>
      </c>
      <c r="B138" s="3" t="s">
        <v>270</v>
      </c>
      <c r="C138" s="2" t="s">
        <v>271</v>
      </c>
      <c r="D138" s="2" t="s">
        <v>35</v>
      </c>
      <c r="E138" s="3" t="s">
        <v>1312</v>
      </c>
      <c r="G138" s="18"/>
      <c r="H138" s="7"/>
      <c r="K138" s="7" t="str">
        <f t="shared" si="5"/>
        <v>Meter3</v>
      </c>
      <c r="L138" s="7" t="str">
        <f t="shared" si="4"/>
        <v>I1</v>
      </c>
    </row>
    <row r="139" spans="1:12" x14ac:dyDescent="0.25">
      <c r="A139" s="2">
        <v>133</v>
      </c>
      <c r="B139" s="3" t="s">
        <v>272</v>
      </c>
      <c r="C139" s="2" t="s">
        <v>273</v>
      </c>
      <c r="D139" s="2" t="s">
        <v>35</v>
      </c>
      <c r="E139" s="3" t="s">
        <v>1313</v>
      </c>
      <c r="G139" s="18"/>
      <c r="H139" s="7"/>
      <c r="K139" s="7" t="str">
        <f t="shared" si="5"/>
        <v>Meter3</v>
      </c>
      <c r="L139" s="7" t="str">
        <f t="shared" si="4"/>
        <v>I2</v>
      </c>
    </row>
    <row r="140" spans="1:12" x14ac:dyDescent="0.25">
      <c r="A140" s="2">
        <v>134</v>
      </c>
      <c r="B140" s="3" t="s">
        <v>274</v>
      </c>
      <c r="C140" s="2" t="s">
        <v>275</v>
      </c>
      <c r="D140" s="2" t="s">
        <v>35</v>
      </c>
      <c r="E140" s="3" t="s">
        <v>1314</v>
      </c>
      <c r="G140" s="18"/>
      <c r="H140" s="7"/>
      <c r="K140" s="7" t="str">
        <f t="shared" si="5"/>
        <v>Meter3</v>
      </c>
      <c r="L140" s="7" t="str">
        <f t="shared" si="4"/>
        <v>I3</v>
      </c>
    </row>
    <row r="141" spans="1:12" x14ac:dyDescent="0.25">
      <c r="A141" s="2">
        <v>135</v>
      </c>
      <c r="B141" s="3" t="s">
        <v>276</v>
      </c>
      <c r="C141" s="2" t="s">
        <v>277</v>
      </c>
      <c r="D141" s="2" t="s">
        <v>35</v>
      </c>
      <c r="E141" s="3" t="s">
        <v>1311</v>
      </c>
      <c r="G141" s="18"/>
      <c r="H141" s="3" t="s">
        <v>1311</v>
      </c>
      <c r="K141" s="7" t="str">
        <f t="shared" si="5"/>
        <v>Meter3</v>
      </c>
      <c r="L141" s="7" t="str">
        <f t="shared" ref="L141:L205" si="6">RIGHT(B141, LEN(B141)-SEARCH("_",B141 ))</f>
        <v>I_ph</v>
      </c>
    </row>
    <row r="142" spans="1:12" x14ac:dyDescent="0.25">
      <c r="A142" s="2">
        <v>136</v>
      </c>
      <c r="B142" s="3" t="s">
        <v>278</v>
      </c>
      <c r="C142" s="2" t="s">
        <v>279</v>
      </c>
      <c r="D142" s="2" t="s">
        <v>35</v>
      </c>
      <c r="E142" s="3" t="s">
        <v>1323</v>
      </c>
      <c r="G142" s="18"/>
      <c r="K142" s="7" t="str">
        <f t="shared" si="5"/>
        <v>Meter3</v>
      </c>
      <c r="L142" s="7" t="str">
        <f t="shared" si="6"/>
        <v>kw1</v>
      </c>
    </row>
    <row r="143" spans="1:12" x14ac:dyDescent="0.25">
      <c r="A143" s="2">
        <v>137</v>
      </c>
      <c r="B143" s="3" t="s">
        <v>280</v>
      </c>
      <c r="C143" s="2" t="s">
        <v>281</v>
      </c>
      <c r="D143" s="2" t="s">
        <v>35</v>
      </c>
      <c r="E143" s="3" t="s">
        <v>1324</v>
      </c>
      <c r="G143" s="18"/>
      <c r="K143" s="7" t="str">
        <f t="shared" si="5"/>
        <v>Meter3</v>
      </c>
      <c r="L143" s="7" t="str">
        <f t="shared" si="6"/>
        <v>kw2</v>
      </c>
    </row>
    <row r="144" spans="1:12" x14ac:dyDescent="0.25">
      <c r="A144" s="2">
        <v>138</v>
      </c>
      <c r="B144" s="3" t="s">
        <v>282</v>
      </c>
      <c r="C144" s="2" t="s">
        <v>283</v>
      </c>
      <c r="D144" s="2" t="s">
        <v>35</v>
      </c>
      <c r="E144" s="3" t="s">
        <v>1325</v>
      </c>
      <c r="G144" s="18"/>
      <c r="K144" s="7" t="str">
        <f t="shared" si="5"/>
        <v>Meter3</v>
      </c>
      <c r="L144" s="7" t="str">
        <f t="shared" si="6"/>
        <v>kw3</v>
      </c>
    </row>
    <row r="145" spans="1:12" x14ac:dyDescent="0.25">
      <c r="A145" s="2">
        <v>139</v>
      </c>
      <c r="B145" s="3" t="s">
        <v>284</v>
      </c>
      <c r="C145" s="2" t="s">
        <v>285</v>
      </c>
      <c r="D145" s="2" t="s">
        <v>35</v>
      </c>
      <c r="E145" s="3" t="s">
        <v>1326</v>
      </c>
      <c r="G145" s="18"/>
      <c r="K145" s="7" t="str">
        <f t="shared" si="5"/>
        <v>Meter3</v>
      </c>
      <c r="L145" s="7" t="str">
        <f t="shared" si="6"/>
        <v>kva1</v>
      </c>
    </row>
    <row r="146" spans="1:12" x14ac:dyDescent="0.25">
      <c r="A146" s="2">
        <v>140</v>
      </c>
      <c r="B146" s="3" t="s">
        <v>286</v>
      </c>
      <c r="C146" s="2" t="s">
        <v>287</v>
      </c>
      <c r="D146" s="2" t="s">
        <v>35</v>
      </c>
      <c r="E146" s="3" t="s">
        <v>1327</v>
      </c>
      <c r="G146" s="18"/>
      <c r="K146" s="7" t="str">
        <f t="shared" si="5"/>
        <v>Meter3</v>
      </c>
      <c r="L146" s="7" t="str">
        <f t="shared" si="6"/>
        <v>kva2</v>
      </c>
    </row>
    <row r="147" spans="1:12" x14ac:dyDescent="0.25">
      <c r="A147" s="2">
        <v>141</v>
      </c>
      <c r="B147" s="3" t="s">
        <v>288</v>
      </c>
      <c r="C147" s="2" t="s">
        <v>289</v>
      </c>
      <c r="D147" s="2" t="s">
        <v>35</v>
      </c>
      <c r="E147" s="3" t="s">
        <v>1328</v>
      </c>
      <c r="G147" s="18"/>
      <c r="K147" s="7" t="str">
        <f t="shared" si="5"/>
        <v>Meter3</v>
      </c>
      <c r="L147" s="7" t="str">
        <f t="shared" si="6"/>
        <v>kva3</v>
      </c>
    </row>
    <row r="148" spans="1:12" x14ac:dyDescent="0.25">
      <c r="A148" s="2">
        <v>142</v>
      </c>
      <c r="B148" s="3" t="s">
        <v>290</v>
      </c>
      <c r="C148" s="2" t="s">
        <v>291</v>
      </c>
      <c r="D148" s="2" t="s">
        <v>35</v>
      </c>
      <c r="E148" s="3" t="s">
        <v>1329</v>
      </c>
      <c r="G148" s="18"/>
      <c r="K148" s="7" t="str">
        <f t="shared" si="5"/>
        <v>Meter3</v>
      </c>
      <c r="L148" s="7" t="str">
        <f t="shared" si="6"/>
        <v>kvar1</v>
      </c>
    </row>
    <row r="149" spans="1:12" x14ac:dyDescent="0.25">
      <c r="A149" s="2">
        <v>143</v>
      </c>
      <c r="B149" s="3" t="s">
        <v>292</v>
      </c>
      <c r="C149" s="2" t="s">
        <v>293</v>
      </c>
      <c r="D149" s="2" t="s">
        <v>35</v>
      </c>
      <c r="E149" s="3" t="s">
        <v>1330</v>
      </c>
      <c r="G149" s="18"/>
      <c r="K149" s="7" t="str">
        <f t="shared" si="5"/>
        <v>Meter3</v>
      </c>
      <c r="L149" s="7" t="str">
        <f t="shared" si="6"/>
        <v>kvar2</v>
      </c>
    </row>
    <row r="150" spans="1:12" x14ac:dyDescent="0.25">
      <c r="A150" s="2">
        <v>144</v>
      </c>
      <c r="B150" s="3" t="s">
        <v>294</v>
      </c>
      <c r="C150" s="2" t="s">
        <v>295</v>
      </c>
      <c r="D150" s="2" t="s">
        <v>35</v>
      </c>
      <c r="E150" s="3" t="s">
        <v>1331</v>
      </c>
      <c r="G150" s="18"/>
      <c r="K150" s="7" t="str">
        <f t="shared" si="5"/>
        <v>Meter3</v>
      </c>
      <c r="L150" s="7" t="str">
        <f t="shared" si="6"/>
        <v>kvar3</v>
      </c>
    </row>
    <row r="151" spans="1:12" x14ac:dyDescent="0.25">
      <c r="A151" s="2">
        <v>145</v>
      </c>
      <c r="B151" s="3" t="s">
        <v>296</v>
      </c>
      <c r="C151" s="2" t="s">
        <v>297</v>
      </c>
      <c r="D151" s="2" t="s">
        <v>35</v>
      </c>
      <c r="E151" s="3" t="s">
        <v>1332</v>
      </c>
      <c r="G151" s="18"/>
      <c r="K151" s="7" t="str">
        <f t="shared" si="5"/>
        <v>Meter3</v>
      </c>
      <c r="L151" s="7" t="str">
        <f t="shared" si="6"/>
        <v>total_kw</v>
      </c>
    </row>
    <row r="152" spans="1:12" x14ac:dyDescent="0.25">
      <c r="A152" s="2">
        <v>146</v>
      </c>
      <c r="B152" s="3" t="s">
        <v>298</v>
      </c>
      <c r="C152" s="2" t="s">
        <v>299</v>
      </c>
      <c r="D152" s="2" t="s">
        <v>35</v>
      </c>
      <c r="E152" s="3" t="s">
        <v>1333</v>
      </c>
      <c r="G152" s="18"/>
      <c r="K152" s="7" t="str">
        <f t="shared" si="5"/>
        <v>Meter3</v>
      </c>
      <c r="L152" s="7" t="str">
        <f t="shared" si="6"/>
        <v>total_kva</v>
      </c>
    </row>
    <row r="153" spans="1:12" x14ac:dyDescent="0.25">
      <c r="A153" s="2">
        <v>147</v>
      </c>
      <c r="B153" s="3" t="s">
        <v>300</v>
      </c>
      <c r="C153" s="2" t="s">
        <v>301</v>
      </c>
      <c r="D153" s="2" t="s">
        <v>35</v>
      </c>
      <c r="E153" s="3" t="s">
        <v>1334</v>
      </c>
      <c r="G153" s="18"/>
      <c r="K153" s="7" t="str">
        <f t="shared" si="5"/>
        <v>Meter3</v>
      </c>
      <c r="L153" s="7" t="str">
        <f t="shared" si="6"/>
        <v>total_kvar</v>
      </c>
    </row>
    <row r="154" spans="1:12" x14ac:dyDescent="0.25">
      <c r="A154" s="2">
        <v>148</v>
      </c>
      <c r="B154" s="3" t="s">
        <v>302</v>
      </c>
      <c r="C154" s="2" t="s">
        <v>303</v>
      </c>
      <c r="D154" s="2" t="s">
        <v>35</v>
      </c>
      <c r="E154" s="3" t="s">
        <v>1335</v>
      </c>
      <c r="G154" s="18"/>
      <c r="K154" s="7" t="str">
        <f t="shared" si="5"/>
        <v>Meter3</v>
      </c>
      <c r="L154" s="7" t="str">
        <f t="shared" si="6"/>
        <v>PF1</v>
      </c>
    </row>
    <row r="155" spans="1:12" x14ac:dyDescent="0.25">
      <c r="A155" s="2">
        <v>149</v>
      </c>
      <c r="B155" s="3" t="s">
        <v>304</v>
      </c>
      <c r="C155" s="2" t="s">
        <v>305</v>
      </c>
      <c r="D155" s="2" t="s">
        <v>35</v>
      </c>
      <c r="E155" s="3" t="s">
        <v>1336</v>
      </c>
      <c r="G155" s="18"/>
      <c r="K155" s="7" t="str">
        <f t="shared" si="5"/>
        <v>Meter3</v>
      </c>
      <c r="L155" s="7" t="str">
        <f t="shared" si="6"/>
        <v>PF2</v>
      </c>
    </row>
    <row r="156" spans="1:12" x14ac:dyDescent="0.25">
      <c r="A156" s="2">
        <v>150</v>
      </c>
      <c r="B156" s="3" t="s">
        <v>306</v>
      </c>
      <c r="C156" s="2" t="s">
        <v>307</v>
      </c>
      <c r="D156" s="2" t="s">
        <v>35</v>
      </c>
      <c r="E156" s="3" t="s">
        <v>1337</v>
      </c>
      <c r="G156" s="18"/>
      <c r="K156" s="7" t="str">
        <f t="shared" si="5"/>
        <v>Meter3</v>
      </c>
      <c r="L156" s="7" t="str">
        <f t="shared" si="6"/>
        <v>PF3</v>
      </c>
    </row>
    <row r="157" spans="1:12" x14ac:dyDescent="0.25">
      <c r="A157" s="2">
        <v>151</v>
      </c>
      <c r="B157" s="3" t="s">
        <v>308</v>
      </c>
      <c r="C157" s="2" t="s">
        <v>309</v>
      </c>
      <c r="D157" s="2" t="s">
        <v>35</v>
      </c>
      <c r="E157" s="3" t="s">
        <v>1338</v>
      </c>
      <c r="G157" s="18"/>
      <c r="K157" s="7" t="str">
        <f t="shared" si="5"/>
        <v>Meter3</v>
      </c>
      <c r="L157" s="7" t="str">
        <f t="shared" si="6"/>
        <v>PF</v>
      </c>
    </row>
    <row r="158" spans="1:12" x14ac:dyDescent="0.25">
      <c r="A158" s="2">
        <v>152</v>
      </c>
      <c r="B158" s="3" t="s">
        <v>310</v>
      </c>
      <c r="C158" s="2" t="s">
        <v>311</v>
      </c>
      <c r="D158" s="2" t="s">
        <v>35</v>
      </c>
      <c r="E158" s="3" t="s">
        <v>1339</v>
      </c>
      <c r="G158" s="18"/>
      <c r="K158" s="7" t="str">
        <f t="shared" si="5"/>
        <v>Meter3</v>
      </c>
      <c r="L158" s="7" t="str">
        <f t="shared" si="6"/>
        <v>freq</v>
      </c>
    </row>
    <row r="159" spans="1:12" x14ac:dyDescent="0.25">
      <c r="A159" s="2">
        <v>153</v>
      </c>
      <c r="B159" s="3" t="s">
        <v>312</v>
      </c>
      <c r="C159" s="2" t="s">
        <v>313</v>
      </c>
      <c r="D159" s="2" t="s">
        <v>35</v>
      </c>
      <c r="E159" s="3" t="s">
        <v>1340</v>
      </c>
      <c r="G159" s="18"/>
      <c r="K159" s="7" t="str">
        <f t="shared" si="5"/>
        <v>Meter3</v>
      </c>
      <c r="L159" s="7" t="str">
        <f t="shared" si="6"/>
        <v>kwh</v>
      </c>
    </row>
    <row r="160" spans="1:12" x14ac:dyDescent="0.25">
      <c r="A160" s="2">
        <v>154</v>
      </c>
      <c r="B160" s="3" t="s">
        <v>314</v>
      </c>
      <c r="C160" s="2" t="s">
        <v>315</v>
      </c>
      <c r="D160" s="2" t="s">
        <v>35</v>
      </c>
      <c r="E160" s="3" t="s">
        <v>1341</v>
      </c>
      <c r="G160" s="18"/>
      <c r="K160" s="7" t="str">
        <f t="shared" si="5"/>
        <v>Meter3</v>
      </c>
      <c r="L160" s="7" t="str">
        <f t="shared" si="6"/>
        <v>kvah</v>
      </c>
    </row>
    <row r="161" spans="1:12" x14ac:dyDescent="0.25">
      <c r="A161" s="2">
        <v>155</v>
      </c>
      <c r="B161" s="3" t="s">
        <v>316</v>
      </c>
      <c r="C161" s="2" t="s">
        <v>317</v>
      </c>
      <c r="D161" s="2" t="s">
        <v>35</v>
      </c>
      <c r="E161" s="3" t="s">
        <v>1342</v>
      </c>
      <c r="G161" s="18"/>
      <c r="K161" s="7" t="str">
        <f t="shared" si="5"/>
        <v>Meter3</v>
      </c>
      <c r="L161" s="7" t="str">
        <f t="shared" si="6"/>
        <v>kvarh</v>
      </c>
    </row>
    <row r="162" spans="1:12" x14ac:dyDescent="0.25">
      <c r="A162" s="2">
        <v>156</v>
      </c>
      <c r="B162" s="3" t="s">
        <v>318</v>
      </c>
      <c r="C162" s="2" t="s">
        <v>319</v>
      </c>
      <c r="D162" s="2" t="s">
        <v>7</v>
      </c>
      <c r="E162" s="3" t="s">
        <v>1343</v>
      </c>
      <c r="G162" s="18"/>
      <c r="K162" s="7" t="str">
        <f t="shared" si="5"/>
        <v>Pump3</v>
      </c>
      <c r="L162" s="7" t="str">
        <f t="shared" si="6"/>
        <v>Ctrl_run_Pump</v>
      </c>
    </row>
    <row r="163" spans="1:12" x14ac:dyDescent="0.25">
      <c r="A163" s="2">
        <v>157</v>
      </c>
      <c r="B163" s="3" t="s">
        <v>320</v>
      </c>
      <c r="C163" s="2" t="s">
        <v>321</v>
      </c>
      <c r="D163" s="2" t="s">
        <v>7</v>
      </c>
      <c r="E163" s="3" t="s">
        <v>1354</v>
      </c>
      <c r="G163" s="18"/>
      <c r="H163" t="s">
        <v>1496</v>
      </c>
      <c r="K163" s="7" t="str">
        <f t="shared" si="5"/>
        <v>Pump3</v>
      </c>
      <c r="L163" s="7" t="str">
        <f t="shared" si="6"/>
        <v>FB_Fault</v>
      </c>
    </row>
    <row r="164" spans="1:12" x14ac:dyDescent="0.25">
      <c r="A164" s="2">
        <v>158</v>
      </c>
      <c r="B164" s="3" t="s">
        <v>322</v>
      </c>
      <c r="C164" s="2" t="s">
        <v>323</v>
      </c>
      <c r="D164" s="2" t="s">
        <v>7</v>
      </c>
      <c r="E164" s="3" t="s">
        <v>1344</v>
      </c>
      <c r="G164" s="18"/>
      <c r="K164" s="7" t="str">
        <f t="shared" si="5"/>
        <v>Pump3</v>
      </c>
      <c r="L164" s="7" t="str">
        <f t="shared" si="6"/>
        <v>Ctrl_PB_Run</v>
      </c>
    </row>
    <row r="165" spans="1:12" x14ac:dyDescent="0.25">
      <c r="A165" s="2">
        <v>159</v>
      </c>
      <c r="B165" s="3" t="s">
        <v>324</v>
      </c>
      <c r="C165" s="2" t="s">
        <v>325</v>
      </c>
      <c r="D165" s="2" t="s">
        <v>7</v>
      </c>
      <c r="E165" s="3" t="s">
        <v>1345</v>
      </c>
      <c r="G165" s="18"/>
      <c r="K165" s="7" t="str">
        <f t="shared" si="5"/>
        <v>Pump3</v>
      </c>
      <c r="L165" s="7" t="str">
        <f t="shared" si="6"/>
        <v>Ctrl_PB_Stop</v>
      </c>
    </row>
    <row r="166" spans="1:12" x14ac:dyDescent="0.25">
      <c r="A166" s="2">
        <v>160</v>
      </c>
      <c r="B166" s="3" t="s">
        <v>326</v>
      </c>
      <c r="C166" s="2" t="s">
        <v>327</v>
      </c>
      <c r="D166" s="2" t="s">
        <v>7</v>
      </c>
      <c r="E166" s="3" t="s">
        <v>1346</v>
      </c>
      <c r="G166" s="18"/>
      <c r="K166" s="7" t="str">
        <f t="shared" si="5"/>
        <v>Pump3</v>
      </c>
      <c r="L166" s="7" t="str">
        <f t="shared" si="6"/>
        <v>Ctrl_PB_RST</v>
      </c>
    </row>
    <row r="167" spans="1:12" x14ac:dyDescent="0.25">
      <c r="A167" s="2">
        <v>161</v>
      </c>
      <c r="B167" s="3" t="s">
        <v>328</v>
      </c>
      <c r="C167" s="2" t="s">
        <v>329</v>
      </c>
      <c r="D167" s="2" t="s">
        <v>24</v>
      </c>
      <c r="E167" s="3" t="s">
        <v>1347</v>
      </c>
      <c r="G167" s="18"/>
      <c r="K167" s="7" t="str">
        <f t="shared" si="5"/>
        <v>Pump3</v>
      </c>
      <c r="L167" s="7" t="str">
        <f t="shared" si="6"/>
        <v>Time_Run_M</v>
      </c>
    </row>
    <row r="168" spans="1:12" x14ac:dyDescent="0.25">
      <c r="A168" s="2">
        <v>162</v>
      </c>
      <c r="B168" s="3" t="s">
        <v>330</v>
      </c>
      <c r="C168" s="2" t="s">
        <v>331</v>
      </c>
      <c r="D168" s="2" t="s">
        <v>24</v>
      </c>
      <c r="E168" s="3" t="s">
        <v>1348</v>
      </c>
      <c r="G168" s="18"/>
      <c r="K168" s="7" t="str">
        <f t="shared" si="5"/>
        <v>Pump3</v>
      </c>
      <c r="L168" s="7" t="str">
        <f t="shared" si="6"/>
        <v>Time_Run_H</v>
      </c>
    </row>
    <row r="169" spans="1:12" x14ac:dyDescent="0.25">
      <c r="A169" s="2">
        <v>163</v>
      </c>
      <c r="B169" s="3" t="s">
        <v>332</v>
      </c>
      <c r="C169" s="2" t="s">
        <v>333</v>
      </c>
      <c r="D169" s="2" t="s">
        <v>24</v>
      </c>
      <c r="E169" s="3" t="s">
        <v>1349</v>
      </c>
      <c r="G169" s="18"/>
      <c r="K169" s="7" t="str">
        <f t="shared" si="5"/>
        <v>Pump3</v>
      </c>
      <c r="L169" s="7" t="str">
        <f t="shared" si="6"/>
        <v>Total_Time_Run_M</v>
      </c>
    </row>
    <row r="170" spans="1:12" x14ac:dyDescent="0.25">
      <c r="A170" s="2">
        <v>164</v>
      </c>
      <c r="B170" s="3" t="s">
        <v>334</v>
      </c>
      <c r="C170" s="2" t="s">
        <v>335</v>
      </c>
      <c r="D170" s="2" t="s">
        <v>24</v>
      </c>
      <c r="E170" s="3" t="s">
        <v>1350</v>
      </c>
      <c r="G170" s="18"/>
      <c r="H170" t="s">
        <v>1407</v>
      </c>
      <c r="K170" s="7" t="str">
        <f t="shared" si="5"/>
        <v>Pump3</v>
      </c>
      <c r="L170" s="7" t="str">
        <f t="shared" si="6"/>
        <v>Total_Time_Run_H</v>
      </c>
    </row>
    <row r="171" spans="1:12" x14ac:dyDescent="0.25">
      <c r="A171" s="2">
        <v>165</v>
      </c>
      <c r="B171" s="3" t="s">
        <v>336</v>
      </c>
      <c r="C171" s="2" t="s">
        <v>337</v>
      </c>
      <c r="D171" s="2" t="s">
        <v>24</v>
      </c>
      <c r="E171" s="3" t="s">
        <v>1351</v>
      </c>
      <c r="G171" s="18"/>
      <c r="K171" s="7" t="str">
        <f t="shared" si="5"/>
        <v>Pump3</v>
      </c>
      <c r="L171" s="7" t="str">
        <f t="shared" si="6"/>
        <v>NumberOfclose</v>
      </c>
    </row>
    <row r="172" spans="1:12" x14ac:dyDescent="0.25">
      <c r="A172" s="2">
        <v>166</v>
      </c>
      <c r="B172" s="3" t="s">
        <v>338</v>
      </c>
      <c r="C172" s="2" t="s">
        <v>339</v>
      </c>
      <c r="D172" s="2" t="s">
        <v>7</v>
      </c>
      <c r="E172" s="3" t="s">
        <v>1355</v>
      </c>
      <c r="G172" s="18" t="s">
        <v>1492</v>
      </c>
      <c r="K172" s="7" t="str">
        <f t="shared" si="5"/>
        <v>Pump4</v>
      </c>
      <c r="L172" s="7" t="str">
        <f t="shared" si="6"/>
        <v>FB_auto</v>
      </c>
    </row>
    <row r="173" spans="1:12" x14ac:dyDescent="0.25">
      <c r="A173" s="2">
        <v>167</v>
      </c>
      <c r="B173" s="3" t="s">
        <v>340</v>
      </c>
      <c r="C173" s="2" t="s">
        <v>341</v>
      </c>
      <c r="D173" s="2" t="s">
        <v>7</v>
      </c>
      <c r="E173" s="3" t="s">
        <v>1306</v>
      </c>
      <c r="G173" s="18"/>
      <c r="H173" t="s">
        <v>1505</v>
      </c>
      <c r="K173" s="7" t="str">
        <f t="shared" si="5"/>
        <v>Pump4</v>
      </c>
      <c r="L173" s="7" t="str">
        <f t="shared" si="6"/>
        <v>FB_Run</v>
      </c>
    </row>
    <row r="174" spans="1:12" x14ac:dyDescent="0.25">
      <c r="A174" s="2">
        <v>168</v>
      </c>
      <c r="B174" s="3" t="s">
        <v>342</v>
      </c>
      <c r="C174" s="2" t="s">
        <v>343</v>
      </c>
      <c r="D174" s="2" t="s">
        <v>7</v>
      </c>
      <c r="E174" s="3" t="s">
        <v>1307</v>
      </c>
      <c r="G174" s="18"/>
      <c r="K174" s="7" t="str">
        <f t="shared" si="5"/>
        <v>Pump4</v>
      </c>
      <c r="L174" s="7" t="str">
        <f t="shared" si="6"/>
        <v>FB_Fault_V</v>
      </c>
    </row>
    <row r="175" spans="1:12" x14ac:dyDescent="0.25">
      <c r="A175" s="2">
        <v>169</v>
      </c>
      <c r="B175" s="3" t="s">
        <v>344</v>
      </c>
      <c r="C175" s="2" t="s">
        <v>345</v>
      </c>
      <c r="D175" s="2" t="s">
        <v>7</v>
      </c>
      <c r="E175" s="3" t="s">
        <v>1307</v>
      </c>
      <c r="G175" s="18"/>
      <c r="K175" s="7" t="str">
        <f t="shared" si="5"/>
        <v>Pump4</v>
      </c>
      <c r="L175" s="7" t="str">
        <f t="shared" si="6"/>
        <v>FB_Fault_SS</v>
      </c>
    </row>
    <row r="176" spans="1:12" x14ac:dyDescent="0.25">
      <c r="A176" s="2">
        <v>170</v>
      </c>
      <c r="B176" s="3" t="s">
        <v>346</v>
      </c>
      <c r="C176" s="2" t="s">
        <v>347</v>
      </c>
      <c r="D176" s="2" t="s">
        <v>7</v>
      </c>
      <c r="E176" s="3" t="s">
        <v>1356</v>
      </c>
      <c r="G176" s="18"/>
      <c r="K176" s="7" t="str">
        <f t="shared" si="5"/>
        <v>Pump4</v>
      </c>
      <c r="L176" s="7" t="str">
        <f t="shared" si="6"/>
        <v>FB_Fault_Temp</v>
      </c>
    </row>
    <row r="177" spans="1:12" x14ac:dyDescent="0.25">
      <c r="A177" s="2">
        <v>171</v>
      </c>
      <c r="B177" s="3" t="s">
        <v>348</v>
      </c>
      <c r="C177" s="2" t="s">
        <v>349</v>
      </c>
      <c r="D177" s="2" t="s">
        <v>7</v>
      </c>
      <c r="E177" s="3" t="s">
        <v>1307</v>
      </c>
      <c r="G177" s="18"/>
      <c r="K177" s="7" t="str">
        <f t="shared" si="5"/>
        <v>Pump4</v>
      </c>
      <c r="L177" s="7" t="str">
        <f t="shared" si="6"/>
        <v>FB_Fault_Curent</v>
      </c>
    </row>
    <row r="178" spans="1:12" x14ac:dyDescent="0.25">
      <c r="A178" s="2">
        <v>172</v>
      </c>
      <c r="B178" s="3" t="s">
        <v>350</v>
      </c>
      <c r="C178" s="2" t="s">
        <v>351</v>
      </c>
      <c r="D178" s="2" t="s">
        <v>7</v>
      </c>
      <c r="E178" s="3" t="s">
        <v>1357</v>
      </c>
      <c r="G178" s="18"/>
      <c r="K178" s="7" t="str">
        <f t="shared" si="5"/>
        <v>Pump4</v>
      </c>
      <c r="L178" s="7" t="str">
        <f t="shared" si="6"/>
        <v>Clock_1m</v>
      </c>
    </row>
    <row r="179" spans="1:12" x14ac:dyDescent="0.25">
      <c r="A179" s="2">
        <v>173</v>
      </c>
      <c r="B179" s="3" t="s">
        <v>352</v>
      </c>
      <c r="C179" s="2" t="s">
        <v>353</v>
      </c>
      <c r="D179" s="2" t="s">
        <v>7</v>
      </c>
      <c r="E179" s="3" t="s">
        <v>1358</v>
      </c>
      <c r="G179" s="18"/>
      <c r="H179" t="s">
        <v>1495</v>
      </c>
      <c r="K179" s="7" t="str">
        <f t="shared" si="5"/>
        <v>Pump4</v>
      </c>
      <c r="L179" s="7" t="str">
        <f t="shared" si="6"/>
        <v>FB_stop</v>
      </c>
    </row>
    <row r="180" spans="1:12" x14ac:dyDescent="0.25">
      <c r="A180" s="2">
        <v>8</v>
      </c>
      <c r="B180" s="12" t="s">
        <v>1436</v>
      </c>
      <c r="C180" s="2" t="s">
        <v>21</v>
      </c>
      <c r="D180" s="2" t="s">
        <v>7</v>
      </c>
      <c r="E180" s="3" t="s">
        <v>1393</v>
      </c>
      <c r="G180" s="18"/>
      <c r="H180" t="s">
        <v>1494</v>
      </c>
      <c r="K180" s="7" t="str">
        <f t="shared" si="5"/>
        <v>Pump4</v>
      </c>
      <c r="L180" s="7" t="str">
        <f t="shared" si="6"/>
        <v>FB_maintenance</v>
      </c>
    </row>
    <row r="181" spans="1:12" x14ac:dyDescent="0.25">
      <c r="A181" s="2">
        <v>174</v>
      </c>
      <c r="B181" s="3" t="s">
        <v>354</v>
      </c>
      <c r="C181" s="2" t="s">
        <v>355</v>
      </c>
      <c r="D181" s="2" t="s">
        <v>24</v>
      </c>
      <c r="E181" s="3" t="s">
        <v>1352</v>
      </c>
      <c r="G181" s="18"/>
      <c r="K181" s="7" t="str">
        <f t="shared" si="5"/>
        <v>Pump4</v>
      </c>
      <c r="L181" s="7" t="str">
        <f t="shared" si="6"/>
        <v>FB_Temp_DEBearing</v>
      </c>
    </row>
    <row r="182" spans="1:12" x14ac:dyDescent="0.25">
      <c r="A182" s="2">
        <v>175</v>
      </c>
      <c r="B182" s="3" t="s">
        <v>356</v>
      </c>
      <c r="C182" s="2" t="s">
        <v>357</v>
      </c>
      <c r="D182" s="2" t="s">
        <v>24</v>
      </c>
      <c r="E182" s="3" t="s">
        <v>1353</v>
      </c>
      <c r="G182" s="18"/>
      <c r="K182" s="7" t="str">
        <f t="shared" si="5"/>
        <v>Pump4</v>
      </c>
      <c r="L182" s="7" t="str">
        <f t="shared" si="6"/>
        <v>FB_Temp_NDEBearing</v>
      </c>
    </row>
    <row r="183" spans="1:12" x14ac:dyDescent="0.25">
      <c r="A183" s="2">
        <v>176</v>
      </c>
      <c r="B183" s="3" t="s">
        <v>358</v>
      </c>
      <c r="C183" s="2" t="s">
        <v>359</v>
      </c>
      <c r="D183" s="2" t="s">
        <v>24</v>
      </c>
      <c r="E183" s="3" t="s">
        <v>1308</v>
      </c>
      <c r="G183" s="18"/>
      <c r="K183" s="7" t="str">
        <f t="shared" si="5"/>
        <v>Pump4</v>
      </c>
      <c r="L183" s="7" t="str">
        <f t="shared" si="6"/>
        <v>FB_Temp_PhaseA</v>
      </c>
    </row>
    <row r="184" spans="1:12" x14ac:dyDescent="0.25">
      <c r="A184" s="2">
        <v>177</v>
      </c>
      <c r="B184" s="3" t="s">
        <v>360</v>
      </c>
      <c r="C184" s="2" t="s">
        <v>361</v>
      </c>
      <c r="D184" s="2" t="s">
        <v>24</v>
      </c>
      <c r="E184" s="3" t="s">
        <v>1309</v>
      </c>
      <c r="G184" s="18"/>
      <c r="K184" s="7" t="str">
        <f t="shared" si="5"/>
        <v>Pump4</v>
      </c>
      <c r="L184" s="7" t="str">
        <f t="shared" si="6"/>
        <v>FB_Temp_PhaseB</v>
      </c>
    </row>
    <row r="185" spans="1:12" x14ac:dyDescent="0.25">
      <c r="A185" s="2">
        <v>178</v>
      </c>
      <c r="B185" s="3" t="s">
        <v>362</v>
      </c>
      <c r="C185" s="2" t="s">
        <v>363</v>
      </c>
      <c r="D185" s="2" t="s">
        <v>24</v>
      </c>
      <c r="E185" s="3" t="s">
        <v>1310</v>
      </c>
      <c r="G185" s="18"/>
      <c r="K185" s="7" t="str">
        <f t="shared" si="5"/>
        <v>Pump4</v>
      </c>
      <c r="L185" s="7" t="str">
        <f t="shared" si="6"/>
        <v>FB_Temp_PhaseC</v>
      </c>
    </row>
    <row r="186" spans="1:12" x14ac:dyDescent="0.25">
      <c r="A186" s="2">
        <v>179</v>
      </c>
      <c r="B186" s="3" t="s">
        <v>364</v>
      </c>
      <c r="C186" s="2" t="s">
        <v>365</v>
      </c>
      <c r="D186" s="2" t="s">
        <v>35</v>
      </c>
      <c r="E186" s="3" t="s">
        <v>1315</v>
      </c>
      <c r="G186" s="18"/>
      <c r="K186" s="7" t="str">
        <f t="shared" si="5"/>
        <v>Meter4</v>
      </c>
      <c r="L186" s="7" t="str">
        <f t="shared" si="6"/>
        <v>U1</v>
      </c>
    </row>
    <row r="187" spans="1:12" x14ac:dyDescent="0.25">
      <c r="A187" s="2">
        <v>180</v>
      </c>
      <c r="B187" s="3" t="s">
        <v>366</v>
      </c>
      <c r="C187" s="2" t="s">
        <v>367</v>
      </c>
      <c r="D187" s="2" t="s">
        <v>35</v>
      </c>
      <c r="E187" s="3" t="s">
        <v>1316</v>
      </c>
      <c r="G187" s="18"/>
      <c r="K187" s="7" t="str">
        <f t="shared" si="5"/>
        <v>Meter4</v>
      </c>
      <c r="L187" s="7" t="str">
        <f t="shared" si="6"/>
        <v>U2</v>
      </c>
    </row>
    <row r="188" spans="1:12" x14ac:dyDescent="0.25">
      <c r="A188" s="2">
        <v>181</v>
      </c>
      <c r="B188" s="3" t="s">
        <v>368</v>
      </c>
      <c r="C188" s="2" t="s">
        <v>369</v>
      </c>
      <c r="D188" s="2" t="s">
        <v>35</v>
      </c>
      <c r="E188" s="3" t="s">
        <v>1317</v>
      </c>
      <c r="G188" s="18"/>
      <c r="K188" s="7" t="str">
        <f t="shared" si="5"/>
        <v>Meter4</v>
      </c>
      <c r="L188" s="7" t="str">
        <f t="shared" si="6"/>
        <v>U3</v>
      </c>
    </row>
    <row r="189" spans="1:12" x14ac:dyDescent="0.25">
      <c r="A189" s="2">
        <v>182</v>
      </c>
      <c r="B189" s="3" t="s">
        <v>370</v>
      </c>
      <c r="C189" s="2" t="s">
        <v>371</v>
      </c>
      <c r="D189" s="2" t="s">
        <v>35</v>
      </c>
      <c r="E189" s="3" t="s">
        <v>1318</v>
      </c>
      <c r="G189" s="18"/>
      <c r="K189" s="7" t="str">
        <f t="shared" si="5"/>
        <v>Meter4</v>
      </c>
      <c r="L189" s="7" t="str">
        <f t="shared" si="6"/>
        <v>U_Ph</v>
      </c>
    </row>
    <row r="190" spans="1:12" x14ac:dyDescent="0.25">
      <c r="A190" s="2">
        <v>183</v>
      </c>
      <c r="B190" s="3" t="s">
        <v>372</v>
      </c>
      <c r="C190" s="2" t="s">
        <v>373</v>
      </c>
      <c r="D190" s="2" t="s">
        <v>35</v>
      </c>
      <c r="E190" s="3" t="s">
        <v>1319</v>
      </c>
      <c r="G190" s="18"/>
      <c r="K190" s="7" t="str">
        <f t="shared" si="5"/>
        <v>Meter4</v>
      </c>
      <c r="L190" s="7" t="str">
        <f t="shared" si="6"/>
        <v>U12</v>
      </c>
    </row>
    <row r="191" spans="1:12" x14ac:dyDescent="0.25">
      <c r="A191" s="2">
        <v>184</v>
      </c>
      <c r="B191" s="3" t="s">
        <v>374</v>
      </c>
      <c r="C191" s="2" t="s">
        <v>375</v>
      </c>
      <c r="D191" s="2" t="s">
        <v>35</v>
      </c>
      <c r="E191" s="3" t="s">
        <v>1320</v>
      </c>
      <c r="G191" s="18"/>
      <c r="K191" s="7" t="str">
        <f t="shared" si="5"/>
        <v>Meter4</v>
      </c>
      <c r="L191" s="7" t="str">
        <f t="shared" si="6"/>
        <v>U23</v>
      </c>
    </row>
    <row r="192" spans="1:12" x14ac:dyDescent="0.25">
      <c r="A192" s="2">
        <v>185</v>
      </c>
      <c r="B192" s="3" t="s">
        <v>376</v>
      </c>
      <c r="C192" s="2" t="s">
        <v>377</v>
      </c>
      <c r="D192" s="2" t="s">
        <v>35</v>
      </c>
      <c r="E192" s="3" t="s">
        <v>1321</v>
      </c>
      <c r="G192" s="18"/>
      <c r="K192" s="7" t="str">
        <f t="shared" si="5"/>
        <v>Meter4</v>
      </c>
      <c r="L192" s="7" t="str">
        <f t="shared" si="6"/>
        <v>U31</v>
      </c>
    </row>
    <row r="193" spans="1:12" x14ac:dyDescent="0.25">
      <c r="A193" s="2">
        <v>186</v>
      </c>
      <c r="B193" s="3" t="s">
        <v>378</v>
      </c>
      <c r="C193" s="2" t="s">
        <v>379</v>
      </c>
      <c r="D193" s="2" t="s">
        <v>35</v>
      </c>
      <c r="E193" s="3" t="s">
        <v>1322</v>
      </c>
      <c r="G193" s="18"/>
      <c r="K193" s="7" t="str">
        <f t="shared" si="5"/>
        <v>Meter4</v>
      </c>
      <c r="L193" s="7" t="str">
        <f t="shared" si="6"/>
        <v>Uline</v>
      </c>
    </row>
    <row r="194" spans="1:12" x14ac:dyDescent="0.25">
      <c r="A194" s="2">
        <v>187</v>
      </c>
      <c r="B194" s="3" t="s">
        <v>380</v>
      </c>
      <c r="C194" s="2" t="s">
        <v>381</v>
      </c>
      <c r="D194" s="2" t="s">
        <v>35</v>
      </c>
      <c r="E194" s="3" t="s">
        <v>1312</v>
      </c>
      <c r="G194" s="18"/>
      <c r="H194" s="7"/>
      <c r="K194" s="7" t="str">
        <f t="shared" si="5"/>
        <v>Meter4</v>
      </c>
      <c r="L194" s="7" t="str">
        <f t="shared" si="6"/>
        <v>I1</v>
      </c>
    </row>
    <row r="195" spans="1:12" x14ac:dyDescent="0.25">
      <c r="A195" s="2">
        <v>188</v>
      </c>
      <c r="B195" s="3" t="s">
        <v>382</v>
      </c>
      <c r="C195" s="2" t="s">
        <v>383</v>
      </c>
      <c r="D195" s="2" t="s">
        <v>35</v>
      </c>
      <c r="E195" s="3" t="s">
        <v>1313</v>
      </c>
      <c r="G195" s="18"/>
      <c r="H195" s="7"/>
      <c r="K195" s="7" t="str">
        <f t="shared" si="5"/>
        <v>Meter4</v>
      </c>
      <c r="L195" s="7" t="str">
        <f t="shared" si="6"/>
        <v>I2</v>
      </c>
    </row>
    <row r="196" spans="1:12" x14ac:dyDescent="0.25">
      <c r="A196" s="2">
        <v>189</v>
      </c>
      <c r="B196" s="3" t="s">
        <v>384</v>
      </c>
      <c r="C196" s="2" t="s">
        <v>385</v>
      </c>
      <c r="D196" s="2" t="s">
        <v>35</v>
      </c>
      <c r="E196" s="3" t="s">
        <v>1314</v>
      </c>
      <c r="G196" s="18"/>
      <c r="H196" s="7"/>
      <c r="K196" s="7" t="str">
        <f t="shared" si="5"/>
        <v>Meter4</v>
      </c>
      <c r="L196" s="7" t="str">
        <f t="shared" si="6"/>
        <v>I3</v>
      </c>
    </row>
    <row r="197" spans="1:12" x14ac:dyDescent="0.25">
      <c r="A197" s="2">
        <v>190</v>
      </c>
      <c r="B197" s="3" t="s">
        <v>386</v>
      </c>
      <c r="C197" s="2" t="s">
        <v>387</v>
      </c>
      <c r="D197" s="2" t="s">
        <v>35</v>
      </c>
      <c r="E197" s="3" t="s">
        <v>1311</v>
      </c>
      <c r="G197" s="18"/>
      <c r="H197" s="3" t="s">
        <v>1311</v>
      </c>
      <c r="K197" s="7" t="str">
        <f t="shared" si="5"/>
        <v>Meter4</v>
      </c>
      <c r="L197" s="7" t="str">
        <f t="shared" si="6"/>
        <v>I_ph</v>
      </c>
    </row>
    <row r="198" spans="1:12" x14ac:dyDescent="0.25">
      <c r="A198" s="2">
        <v>191</v>
      </c>
      <c r="B198" s="3" t="s">
        <v>388</v>
      </c>
      <c r="C198" s="2" t="s">
        <v>389</v>
      </c>
      <c r="D198" s="2" t="s">
        <v>35</v>
      </c>
      <c r="E198" s="3" t="s">
        <v>1323</v>
      </c>
      <c r="G198" s="18"/>
      <c r="K198" s="7" t="str">
        <f t="shared" si="5"/>
        <v>Meter4</v>
      </c>
      <c r="L198" s="7" t="str">
        <f t="shared" si="6"/>
        <v>kw1</v>
      </c>
    </row>
    <row r="199" spans="1:12" x14ac:dyDescent="0.25">
      <c r="A199" s="2">
        <v>192</v>
      </c>
      <c r="B199" s="3" t="s">
        <v>390</v>
      </c>
      <c r="C199" s="2" t="s">
        <v>391</v>
      </c>
      <c r="D199" s="2" t="s">
        <v>35</v>
      </c>
      <c r="E199" s="3" t="s">
        <v>1324</v>
      </c>
      <c r="G199" s="18"/>
      <c r="K199" s="7" t="str">
        <f t="shared" si="5"/>
        <v>Meter4</v>
      </c>
      <c r="L199" s="7" t="str">
        <f t="shared" si="6"/>
        <v>kw2</v>
      </c>
    </row>
    <row r="200" spans="1:12" x14ac:dyDescent="0.25">
      <c r="A200" s="2">
        <v>193</v>
      </c>
      <c r="B200" s="3" t="s">
        <v>392</v>
      </c>
      <c r="C200" s="2" t="s">
        <v>393</v>
      </c>
      <c r="D200" s="2" t="s">
        <v>35</v>
      </c>
      <c r="E200" s="3" t="s">
        <v>1325</v>
      </c>
      <c r="G200" s="18"/>
      <c r="K200" s="7" t="str">
        <f t="shared" si="5"/>
        <v>Meter4</v>
      </c>
      <c r="L200" s="7" t="str">
        <f t="shared" si="6"/>
        <v>kw3</v>
      </c>
    </row>
    <row r="201" spans="1:12" x14ac:dyDescent="0.25">
      <c r="A201" s="2">
        <v>194</v>
      </c>
      <c r="B201" s="3" t="s">
        <v>394</v>
      </c>
      <c r="C201" s="2" t="s">
        <v>395</v>
      </c>
      <c r="D201" s="2" t="s">
        <v>35</v>
      </c>
      <c r="E201" s="3" t="s">
        <v>1326</v>
      </c>
      <c r="G201" s="18"/>
      <c r="K201" s="7" t="str">
        <f t="shared" ref="K201:K265" si="7">LEFT(B201, SEARCH("_",B201 ) - 1)</f>
        <v>Meter4</v>
      </c>
      <c r="L201" s="7" t="str">
        <f t="shared" si="6"/>
        <v>kva1</v>
      </c>
    </row>
    <row r="202" spans="1:12" x14ac:dyDescent="0.25">
      <c r="A202" s="2">
        <v>195</v>
      </c>
      <c r="B202" s="3" t="s">
        <v>396</v>
      </c>
      <c r="C202" s="2" t="s">
        <v>397</v>
      </c>
      <c r="D202" s="2" t="s">
        <v>35</v>
      </c>
      <c r="E202" s="3" t="s">
        <v>1327</v>
      </c>
      <c r="G202" s="18"/>
      <c r="K202" s="7" t="str">
        <f t="shared" si="7"/>
        <v>Meter4</v>
      </c>
      <c r="L202" s="7" t="str">
        <f t="shared" si="6"/>
        <v>kva2</v>
      </c>
    </row>
    <row r="203" spans="1:12" x14ac:dyDescent="0.25">
      <c r="A203" s="2">
        <v>196</v>
      </c>
      <c r="B203" s="3" t="s">
        <v>398</v>
      </c>
      <c r="C203" s="2" t="s">
        <v>399</v>
      </c>
      <c r="D203" s="2" t="s">
        <v>35</v>
      </c>
      <c r="E203" s="3" t="s">
        <v>1328</v>
      </c>
      <c r="G203" s="18"/>
      <c r="K203" s="7" t="str">
        <f t="shared" si="7"/>
        <v>Meter4</v>
      </c>
      <c r="L203" s="7" t="str">
        <f t="shared" si="6"/>
        <v>kva3</v>
      </c>
    </row>
    <row r="204" spans="1:12" x14ac:dyDescent="0.25">
      <c r="A204" s="2">
        <v>197</v>
      </c>
      <c r="B204" s="3" t="s">
        <v>400</v>
      </c>
      <c r="C204" s="2" t="s">
        <v>401</v>
      </c>
      <c r="D204" s="2" t="s">
        <v>35</v>
      </c>
      <c r="E204" s="3" t="s">
        <v>1329</v>
      </c>
      <c r="G204" s="18"/>
      <c r="K204" s="7" t="str">
        <f t="shared" si="7"/>
        <v>Meter4</v>
      </c>
      <c r="L204" s="7" t="str">
        <f t="shared" si="6"/>
        <v>kvar1</v>
      </c>
    </row>
    <row r="205" spans="1:12" x14ac:dyDescent="0.25">
      <c r="A205" s="2">
        <v>198</v>
      </c>
      <c r="B205" s="3" t="s">
        <v>402</v>
      </c>
      <c r="C205" s="2" t="s">
        <v>403</v>
      </c>
      <c r="D205" s="2" t="s">
        <v>35</v>
      </c>
      <c r="E205" s="3" t="s">
        <v>1330</v>
      </c>
      <c r="G205" s="18"/>
      <c r="K205" s="7" t="str">
        <f t="shared" si="7"/>
        <v>Meter4</v>
      </c>
      <c r="L205" s="7" t="str">
        <f t="shared" si="6"/>
        <v>kvar2</v>
      </c>
    </row>
    <row r="206" spans="1:12" x14ac:dyDescent="0.25">
      <c r="A206" s="2">
        <v>199</v>
      </c>
      <c r="B206" s="3" t="s">
        <v>404</v>
      </c>
      <c r="C206" s="2" t="s">
        <v>405</v>
      </c>
      <c r="D206" s="2" t="s">
        <v>35</v>
      </c>
      <c r="E206" s="3" t="s">
        <v>1331</v>
      </c>
      <c r="G206" s="18"/>
      <c r="K206" s="7" t="str">
        <f t="shared" si="7"/>
        <v>Meter4</v>
      </c>
      <c r="L206" s="7" t="str">
        <f t="shared" ref="L206:L270" si="8">RIGHT(B206, LEN(B206)-SEARCH("_",B206 ))</f>
        <v>kvar3</v>
      </c>
    </row>
    <row r="207" spans="1:12" x14ac:dyDescent="0.25">
      <c r="A207" s="2">
        <v>200</v>
      </c>
      <c r="B207" s="3" t="s">
        <v>406</v>
      </c>
      <c r="C207" s="2" t="s">
        <v>407</v>
      </c>
      <c r="D207" s="2" t="s">
        <v>35</v>
      </c>
      <c r="E207" s="3" t="s">
        <v>1332</v>
      </c>
      <c r="G207" s="18"/>
      <c r="K207" s="7" t="str">
        <f t="shared" si="7"/>
        <v>Meter4</v>
      </c>
      <c r="L207" s="7" t="str">
        <f t="shared" si="8"/>
        <v>total_kw</v>
      </c>
    </row>
    <row r="208" spans="1:12" x14ac:dyDescent="0.25">
      <c r="A208" s="2">
        <v>201</v>
      </c>
      <c r="B208" s="3" t="s">
        <v>408</v>
      </c>
      <c r="C208" s="2" t="s">
        <v>409</v>
      </c>
      <c r="D208" s="2" t="s">
        <v>35</v>
      </c>
      <c r="E208" s="3" t="s">
        <v>1333</v>
      </c>
      <c r="G208" s="18"/>
      <c r="K208" s="7" t="str">
        <f t="shared" si="7"/>
        <v>Meter4</v>
      </c>
      <c r="L208" s="7" t="str">
        <f t="shared" si="8"/>
        <v>total_kva</v>
      </c>
    </row>
    <row r="209" spans="1:12" x14ac:dyDescent="0.25">
      <c r="A209" s="2">
        <v>202</v>
      </c>
      <c r="B209" s="3" t="s">
        <v>410</v>
      </c>
      <c r="C209" s="2" t="s">
        <v>411</v>
      </c>
      <c r="D209" s="2" t="s">
        <v>35</v>
      </c>
      <c r="E209" s="3" t="s">
        <v>1334</v>
      </c>
      <c r="G209" s="18"/>
      <c r="K209" s="7" t="str">
        <f t="shared" si="7"/>
        <v>Meter4</v>
      </c>
      <c r="L209" s="7" t="str">
        <f t="shared" si="8"/>
        <v>total_kvar</v>
      </c>
    </row>
    <row r="210" spans="1:12" x14ac:dyDescent="0.25">
      <c r="A210" s="2">
        <v>203</v>
      </c>
      <c r="B210" s="3" t="s">
        <v>412</v>
      </c>
      <c r="C210" s="2" t="s">
        <v>413</v>
      </c>
      <c r="D210" s="2" t="s">
        <v>35</v>
      </c>
      <c r="E210" s="3" t="s">
        <v>1335</v>
      </c>
      <c r="G210" s="18"/>
      <c r="K210" s="7" t="str">
        <f t="shared" si="7"/>
        <v>Meter4</v>
      </c>
      <c r="L210" s="7" t="str">
        <f t="shared" si="8"/>
        <v>PF1</v>
      </c>
    </row>
    <row r="211" spans="1:12" x14ac:dyDescent="0.25">
      <c r="A211" s="2">
        <v>204</v>
      </c>
      <c r="B211" s="3" t="s">
        <v>414</v>
      </c>
      <c r="C211" s="2" t="s">
        <v>415</v>
      </c>
      <c r="D211" s="2" t="s">
        <v>35</v>
      </c>
      <c r="E211" s="3" t="s">
        <v>1336</v>
      </c>
      <c r="G211" s="18"/>
      <c r="K211" s="7" t="str">
        <f t="shared" si="7"/>
        <v>Meter4</v>
      </c>
      <c r="L211" s="7" t="str">
        <f t="shared" si="8"/>
        <v>PF2</v>
      </c>
    </row>
    <row r="212" spans="1:12" x14ac:dyDescent="0.25">
      <c r="A212" s="2">
        <v>205</v>
      </c>
      <c r="B212" s="3" t="s">
        <v>416</v>
      </c>
      <c r="C212" s="2" t="s">
        <v>417</v>
      </c>
      <c r="D212" s="2" t="s">
        <v>35</v>
      </c>
      <c r="E212" s="3" t="s">
        <v>1337</v>
      </c>
      <c r="G212" s="18"/>
      <c r="K212" s="7" t="str">
        <f t="shared" si="7"/>
        <v>Meter4</v>
      </c>
      <c r="L212" s="7" t="str">
        <f t="shared" si="8"/>
        <v>PF3</v>
      </c>
    </row>
    <row r="213" spans="1:12" x14ac:dyDescent="0.25">
      <c r="A213" s="2">
        <v>206</v>
      </c>
      <c r="B213" s="3" t="s">
        <v>418</v>
      </c>
      <c r="C213" s="2" t="s">
        <v>419</v>
      </c>
      <c r="D213" s="2" t="s">
        <v>35</v>
      </c>
      <c r="E213" s="3" t="s">
        <v>1338</v>
      </c>
      <c r="G213" s="18"/>
      <c r="K213" s="7" t="str">
        <f t="shared" si="7"/>
        <v>Meter4</v>
      </c>
      <c r="L213" s="7" t="str">
        <f t="shared" si="8"/>
        <v>PF</v>
      </c>
    </row>
    <row r="214" spans="1:12" x14ac:dyDescent="0.25">
      <c r="A214" s="2">
        <v>207</v>
      </c>
      <c r="B214" s="3" t="s">
        <v>420</v>
      </c>
      <c r="C214" s="2" t="s">
        <v>421</v>
      </c>
      <c r="D214" s="2" t="s">
        <v>35</v>
      </c>
      <c r="E214" s="3" t="s">
        <v>1339</v>
      </c>
      <c r="G214" s="18"/>
      <c r="K214" s="7" t="str">
        <f t="shared" si="7"/>
        <v>Meter4</v>
      </c>
      <c r="L214" s="7" t="str">
        <f t="shared" si="8"/>
        <v>freq</v>
      </c>
    </row>
    <row r="215" spans="1:12" x14ac:dyDescent="0.25">
      <c r="A215" s="2">
        <v>208</v>
      </c>
      <c r="B215" s="3" t="s">
        <v>422</v>
      </c>
      <c r="C215" s="2" t="s">
        <v>423</v>
      </c>
      <c r="D215" s="2" t="s">
        <v>35</v>
      </c>
      <c r="E215" s="3" t="s">
        <v>1340</v>
      </c>
      <c r="G215" s="18"/>
      <c r="K215" s="7" t="str">
        <f t="shared" si="7"/>
        <v>Meter4</v>
      </c>
      <c r="L215" s="7" t="str">
        <f t="shared" si="8"/>
        <v>kwh</v>
      </c>
    </row>
    <row r="216" spans="1:12" x14ac:dyDescent="0.25">
      <c r="A216" s="2">
        <v>209</v>
      </c>
      <c r="B216" s="3" t="s">
        <v>424</v>
      </c>
      <c r="C216" s="2" t="s">
        <v>425</v>
      </c>
      <c r="D216" s="2" t="s">
        <v>35</v>
      </c>
      <c r="E216" s="3" t="s">
        <v>1341</v>
      </c>
      <c r="G216" s="18"/>
      <c r="K216" s="7" t="str">
        <f t="shared" si="7"/>
        <v>Meter4</v>
      </c>
      <c r="L216" s="7" t="str">
        <f t="shared" si="8"/>
        <v>kvah</v>
      </c>
    </row>
    <row r="217" spans="1:12" x14ac:dyDescent="0.25">
      <c r="A217" s="2">
        <v>210</v>
      </c>
      <c r="B217" s="3" t="s">
        <v>426</v>
      </c>
      <c r="C217" s="2" t="s">
        <v>427</v>
      </c>
      <c r="D217" s="2" t="s">
        <v>35</v>
      </c>
      <c r="E217" s="3" t="s">
        <v>1342</v>
      </c>
      <c r="G217" s="18"/>
      <c r="K217" s="7" t="str">
        <f t="shared" si="7"/>
        <v>Meter4</v>
      </c>
      <c r="L217" s="7" t="str">
        <f t="shared" si="8"/>
        <v>kvarh</v>
      </c>
    </row>
    <row r="218" spans="1:12" x14ac:dyDescent="0.25">
      <c r="A218" s="2">
        <v>211</v>
      </c>
      <c r="B218" s="3" t="s">
        <v>428</v>
      </c>
      <c r="C218" s="2" t="s">
        <v>429</v>
      </c>
      <c r="D218" s="2" t="s">
        <v>7</v>
      </c>
      <c r="E218" s="3" t="s">
        <v>1343</v>
      </c>
      <c r="G218" s="18"/>
      <c r="K218" s="7" t="str">
        <f t="shared" si="7"/>
        <v>Pump4</v>
      </c>
      <c r="L218" s="7" t="str">
        <f t="shared" si="8"/>
        <v>Ctrl_run_Pump</v>
      </c>
    </row>
    <row r="219" spans="1:12" x14ac:dyDescent="0.25">
      <c r="A219" s="2">
        <v>212</v>
      </c>
      <c r="B219" s="3" t="s">
        <v>430</v>
      </c>
      <c r="C219" s="2" t="s">
        <v>431</v>
      </c>
      <c r="D219" s="2" t="s">
        <v>7</v>
      </c>
      <c r="E219" s="3" t="s">
        <v>1354</v>
      </c>
      <c r="G219" s="18"/>
      <c r="H219" t="s">
        <v>1496</v>
      </c>
      <c r="K219" s="7" t="str">
        <f t="shared" si="7"/>
        <v>Pump4</v>
      </c>
      <c r="L219" s="7" t="str">
        <f t="shared" si="8"/>
        <v>FB_Fault</v>
      </c>
    </row>
    <row r="220" spans="1:12" x14ac:dyDescent="0.25">
      <c r="A220" s="2">
        <v>213</v>
      </c>
      <c r="B220" s="3" t="s">
        <v>432</v>
      </c>
      <c r="C220" s="2" t="s">
        <v>433</v>
      </c>
      <c r="D220" s="2" t="s">
        <v>7</v>
      </c>
      <c r="E220" s="3" t="s">
        <v>1344</v>
      </c>
      <c r="G220" s="18"/>
      <c r="K220" s="7" t="str">
        <f t="shared" si="7"/>
        <v>Pump4</v>
      </c>
      <c r="L220" s="7" t="str">
        <f t="shared" si="8"/>
        <v>Ctrl_PB_Run</v>
      </c>
    </row>
    <row r="221" spans="1:12" x14ac:dyDescent="0.25">
      <c r="A221" s="2">
        <v>214</v>
      </c>
      <c r="B221" s="3" t="s">
        <v>434</v>
      </c>
      <c r="C221" s="2" t="s">
        <v>435</v>
      </c>
      <c r="D221" s="2" t="s">
        <v>7</v>
      </c>
      <c r="E221" s="3" t="s">
        <v>1345</v>
      </c>
      <c r="G221" s="18"/>
      <c r="K221" s="7" t="str">
        <f t="shared" si="7"/>
        <v>Pump4</v>
      </c>
      <c r="L221" s="7" t="str">
        <f t="shared" si="8"/>
        <v>Ctrl_PB_Stop</v>
      </c>
    </row>
    <row r="222" spans="1:12" x14ac:dyDescent="0.25">
      <c r="A222" s="2">
        <v>215</v>
      </c>
      <c r="B222" s="3" t="s">
        <v>436</v>
      </c>
      <c r="C222" s="2" t="s">
        <v>437</v>
      </c>
      <c r="D222" s="2" t="s">
        <v>7</v>
      </c>
      <c r="E222" s="3" t="s">
        <v>1346</v>
      </c>
      <c r="G222" s="18"/>
      <c r="K222" s="7" t="str">
        <f t="shared" si="7"/>
        <v>Pump4</v>
      </c>
      <c r="L222" s="7" t="str">
        <f t="shared" si="8"/>
        <v>Ctrl_PB_RST</v>
      </c>
    </row>
    <row r="223" spans="1:12" x14ac:dyDescent="0.25">
      <c r="A223" s="2">
        <v>216</v>
      </c>
      <c r="B223" s="3" t="s">
        <v>438</v>
      </c>
      <c r="C223" s="2" t="s">
        <v>439</v>
      </c>
      <c r="D223" s="2" t="s">
        <v>24</v>
      </c>
      <c r="E223" s="3" t="s">
        <v>1347</v>
      </c>
      <c r="G223" s="18"/>
      <c r="K223" s="7" t="str">
        <f t="shared" si="7"/>
        <v>Pump4</v>
      </c>
      <c r="L223" s="7" t="str">
        <f t="shared" si="8"/>
        <v>Time_Run_M</v>
      </c>
    </row>
    <row r="224" spans="1:12" x14ac:dyDescent="0.25">
      <c r="A224" s="2">
        <v>217</v>
      </c>
      <c r="B224" s="3" t="s">
        <v>440</v>
      </c>
      <c r="C224" s="2" t="s">
        <v>441</v>
      </c>
      <c r="D224" s="2" t="s">
        <v>24</v>
      </c>
      <c r="E224" s="3" t="s">
        <v>1348</v>
      </c>
      <c r="G224" s="18"/>
      <c r="K224" s="7" t="str">
        <f t="shared" si="7"/>
        <v>Pump4</v>
      </c>
      <c r="L224" s="7" t="str">
        <f t="shared" si="8"/>
        <v>Time_Run_H</v>
      </c>
    </row>
    <row r="225" spans="1:12" x14ac:dyDescent="0.25">
      <c r="A225" s="2">
        <v>218</v>
      </c>
      <c r="B225" s="3" t="s">
        <v>442</v>
      </c>
      <c r="C225" s="2" t="s">
        <v>443</v>
      </c>
      <c r="D225" s="2" t="s">
        <v>24</v>
      </c>
      <c r="E225" s="3" t="s">
        <v>1349</v>
      </c>
      <c r="G225" s="18"/>
      <c r="K225" s="7" t="str">
        <f t="shared" si="7"/>
        <v>Pump4</v>
      </c>
      <c r="L225" s="7" t="str">
        <f t="shared" si="8"/>
        <v>Total_Time_Run_M</v>
      </c>
    </row>
    <row r="226" spans="1:12" x14ac:dyDescent="0.25">
      <c r="A226" s="2">
        <v>219</v>
      </c>
      <c r="B226" s="3" t="s">
        <v>444</v>
      </c>
      <c r="C226" s="2" t="s">
        <v>445</v>
      </c>
      <c r="D226" s="2" t="s">
        <v>24</v>
      </c>
      <c r="E226" s="3" t="s">
        <v>1350</v>
      </c>
      <c r="G226" s="18"/>
      <c r="H226" t="s">
        <v>1407</v>
      </c>
      <c r="K226" s="7" t="str">
        <f t="shared" si="7"/>
        <v>Pump4</v>
      </c>
      <c r="L226" s="7" t="str">
        <f t="shared" si="8"/>
        <v>Total_Time_Run_H</v>
      </c>
    </row>
    <row r="227" spans="1:12" x14ac:dyDescent="0.25">
      <c r="A227" s="2">
        <v>220</v>
      </c>
      <c r="B227" s="3" t="s">
        <v>446</v>
      </c>
      <c r="C227" s="2" t="s">
        <v>447</v>
      </c>
      <c r="D227" s="2" t="s">
        <v>24</v>
      </c>
      <c r="E227" s="3" t="s">
        <v>1351</v>
      </c>
      <c r="G227" s="18"/>
      <c r="K227" s="7" t="str">
        <f t="shared" si="7"/>
        <v>Pump4</v>
      </c>
      <c r="L227" s="7" t="str">
        <f t="shared" si="8"/>
        <v>NumberOfclose</v>
      </c>
    </row>
    <row r="228" spans="1:12" x14ac:dyDescent="0.25">
      <c r="A228" s="2">
        <v>221</v>
      </c>
      <c r="B228" s="3" t="s">
        <v>448</v>
      </c>
      <c r="C228" s="2" t="s">
        <v>449</v>
      </c>
      <c r="D228" s="2" t="s">
        <v>7</v>
      </c>
      <c r="E228" s="3" t="s">
        <v>1355</v>
      </c>
      <c r="G228" s="18" t="s">
        <v>1493</v>
      </c>
      <c r="K228" s="7" t="str">
        <f t="shared" si="7"/>
        <v>Pump5</v>
      </c>
      <c r="L228" s="7" t="str">
        <f t="shared" si="8"/>
        <v>FB_auto</v>
      </c>
    </row>
    <row r="229" spans="1:12" x14ac:dyDescent="0.25">
      <c r="A229" s="2">
        <v>222</v>
      </c>
      <c r="B229" s="3" t="s">
        <v>450</v>
      </c>
      <c r="C229" s="2" t="s">
        <v>451</v>
      </c>
      <c r="D229" s="2" t="s">
        <v>7</v>
      </c>
      <c r="E229" s="3" t="s">
        <v>1306</v>
      </c>
      <c r="G229" s="18"/>
      <c r="H229" t="s">
        <v>1505</v>
      </c>
      <c r="K229" s="7" t="str">
        <f t="shared" si="7"/>
        <v>Pump5</v>
      </c>
      <c r="L229" s="7" t="str">
        <f t="shared" si="8"/>
        <v>FB_Run</v>
      </c>
    </row>
    <row r="230" spans="1:12" x14ac:dyDescent="0.25">
      <c r="A230" s="2">
        <v>223</v>
      </c>
      <c r="B230" s="3" t="s">
        <v>452</v>
      </c>
      <c r="C230" s="2" t="s">
        <v>453</v>
      </c>
      <c r="D230" s="2" t="s">
        <v>7</v>
      </c>
      <c r="E230" s="3" t="s">
        <v>1307</v>
      </c>
      <c r="G230" s="18"/>
      <c r="K230" s="7" t="str">
        <f t="shared" si="7"/>
        <v>Pump5</v>
      </c>
      <c r="L230" s="7" t="str">
        <f t="shared" si="8"/>
        <v>FB_Fault_V</v>
      </c>
    </row>
    <row r="231" spans="1:12" x14ac:dyDescent="0.25">
      <c r="A231" s="2">
        <v>224</v>
      </c>
      <c r="B231" s="3" t="s">
        <v>454</v>
      </c>
      <c r="C231" s="2" t="s">
        <v>455</v>
      </c>
      <c r="D231" s="2" t="s">
        <v>7</v>
      </c>
      <c r="E231" s="3" t="s">
        <v>1307</v>
      </c>
      <c r="G231" s="18"/>
      <c r="K231" s="7" t="str">
        <f t="shared" si="7"/>
        <v>Pump5</v>
      </c>
      <c r="L231" s="7" t="str">
        <f t="shared" si="8"/>
        <v>FB_Fault_SS</v>
      </c>
    </row>
    <row r="232" spans="1:12" x14ac:dyDescent="0.25">
      <c r="A232" s="2">
        <v>225</v>
      </c>
      <c r="B232" s="3" t="s">
        <v>456</v>
      </c>
      <c r="C232" s="2" t="s">
        <v>457</v>
      </c>
      <c r="D232" s="2" t="s">
        <v>7</v>
      </c>
      <c r="E232" s="3" t="s">
        <v>1356</v>
      </c>
      <c r="G232" s="18"/>
      <c r="K232" s="7" t="str">
        <f t="shared" si="7"/>
        <v>Pump5</v>
      </c>
      <c r="L232" s="7" t="str">
        <f t="shared" si="8"/>
        <v>FB_Fault_Temp</v>
      </c>
    </row>
    <row r="233" spans="1:12" x14ac:dyDescent="0.25">
      <c r="A233" s="2">
        <v>226</v>
      </c>
      <c r="B233" s="3" t="s">
        <v>458</v>
      </c>
      <c r="C233" s="2" t="s">
        <v>459</v>
      </c>
      <c r="D233" s="2" t="s">
        <v>7</v>
      </c>
      <c r="E233" s="3" t="s">
        <v>1307</v>
      </c>
      <c r="G233" s="18"/>
      <c r="K233" s="7" t="str">
        <f t="shared" si="7"/>
        <v>Pump5</v>
      </c>
      <c r="L233" s="7" t="str">
        <f t="shared" si="8"/>
        <v>FB_Fault_Curent</v>
      </c>
    </row>
    <row r="234" spans="1:12" x14ac:dyDescent="0.25">
      <c r="A234" s="2">
        <v>227</v>
      </c>
      <c r="B234" s="3" t="s">
        <v>460</v>
      </c>
      <c r="C234" s="2" t="s">
        <v>461</v>
      </c>
      <c r="D234" s="2" t="s">
        <v>7</v>
      </c>
      <c r="E234" s="3" t="s">
        <v>1357</v>
      </c>
      <c r="G234" s="18"/>
      <c r="K234" s="7" t="str">
        <f t="shared" si="7"/>
        <v>Pump5</v>
      </c>
      <c r="L234" s="7" t="str">
        <f t="shared" si="8"/>
        <v>Clock_1m</v>
      </c>
    </row>
    <row r="235" spans="1:12" x14ac:dyDescent="0.25">
      <c r="A235" s="2">
        <v>228</v>
      </c>
      <c r="B235" s="3" t="s">
        <v>462</v>
      </c>
      <c r="C235" s="2" t="s">
        <v>463</v>
      </c>
      <c r="D235" s="2" t="s">
        <v>7</v>
      </c>
      <c r="E235" s="3" t="s">
        <v>1358</v>
      </c>
      <c r="G235" s="18"/>
      <c r="H235" t="s">
        <v>1495</v>
      </c>
      <c r="K235" s="7" t="str">
        <f t="shared" si="7"/>
        <v>Pump5</v>
      </c>
      <c r="L235" s="7" t="str">
        <f t="shared" si="8"/>
        <v>FB_stop</v>
      </c>
    </row>
    <row r="236" spans="1:12" x14ac:dyDescent="0.25">
      <c r="A236" s="2">
        <v>8</v>
      </c>
      <c r="B236" s="12" t="s">
        <v>1437</v>
      </c>
      <c r="C236" s="2" t="s">
        <v>21</v>
      </c>
      <c r="D236" s="2" t="s">
        <v>7</v>
      </c>
      <c r="E236" s="3" t="s">
        <v>1393</v>
      </c>
      <c r="G236" s="18"/>
      <c r="H236" t="s">
        <v>1494</v>
      </c>
      <c r="K236" s="7" t="str">
        <f t="shared" si="7"/>
        <v>Pump5</v>
      </c>
      <c r="L236" s="7" t="str">
        <f t="shared" si="8"/>
        <v>FB_maintenance</v>
      </c>
    </row>
    <row r="237" spans="1:12" x14ac:dyDescent="0.25">
      <c r="A237" s="2">
        <v>229</v>
      </c>
      <c r="B237" s="3" t="s">
        <v>464</v>
      </c>
      <c r="C237" s="2" t="s">
        <v>465</v>
      </c>
      <c r="D237" s="2" t="s">
        <v>24</v>
      </c>
      <c r="E237" s="3" t="s">
        <v>1352</v>
      </c>
      <c r="G237" s="18"/>
      <c r="K237" s="7" t="str">
        <f t="shared" si="7"/>
        <v>Pump5</v>
      </c>
      <c r="L237" s="7" t="str">
        <f t="shared" si="8"/>
        <v>FB_Temp_DEBearing</v>
      </c>
    </row>
    <row r="238" spans="1:12" x14ac:dyDescent="0.25">
      <c r="A238" s="2">
        <v>230</v>
      </c>
      <c r="B238" s="3" t="s">
        <v>466</v>
      </c>
      <c r="C238" s="2" t="s">
        <v>467</v>
      </c>
      <c r="D238" s="2" t="s">
        <v>24</v>
      </c>
      <c r="E238" s="3" t="s">
        <v>1353</v>
      </c>
      <c r="G238" s="18"/>
      <c r="K238" s="7" t="str">
        <f t="shared" si="7"/>
        <v>Pump5</v>
      </c>
      <c r="L238" s="7" t="str">
        <f t="shared" si="8"/>
        <v>FB_Temp_NDEBearing</v>
      </c>
    </row>
    <row r="239" spans="1:12" x14ac:dyDescent="0.25">
      <c r="A239" s="2">
        <v>231</v>
      </c>
      <c r="B239" s="3" t="s">
        <v>468</v>
      </c>
      <c r="C239" s="2" t="s">
        <v>469</v>
      </c>
      <c r="D239" s="2" t="s">
        <v>24</v>
      </c>
      <c r="E239" s="3" t="s">
        <v>1308</v>
      </c>
      <c r="G239" s="18"/>
      <c r="K239" s="7" t="str">
        <f t="shared" si="7"/>
        <v>Pump5</v>
      </c>
      <c r="L239" s="7" t="str">
        <f t="shared" si="8"/>
        <v>FB_Temp_PhaseA</v>
      </c>
    </row>
    <row r="240" spans="1:12" x14ac:dyDescent="0.25">
      <c r="A240" s="2">
        <v>232</v>
      </c>
      <c r="B240" s="3" t="s">
        <v>470</v>
      </c>
      <c r="C240" s="2" t="s">
        <v>471</v>
      </c>
      <c r="D240" s="2" t="s">
        <v>24</v>
      </c>
      <c r="E240" s="3" t="s">
        <v>1309</v>
      </c>
      <c r="G240" s="18"/>
      <c r="K240" s="7" t="str">
        <f t="shared" si="7"/>
        <v>Pump5</v>
      </c>
      <c r="L240" s="7" t="str">
        <f t="shared" si="8"/>
        <v>FB_Temp_PhaseB</v>
      </c>
    </row>
    <row r="241" spans="1:12" x14ac:dyDescent="0.25">
      <c r="A241" s="2">
        <v>233</v>
      </c>
      <c r="B241" s="3" t="s">
        <v>472</v>
      </c>
      <c r="C241" s="2" t="s">
        <v>473</v>
      </c>
      <c r="D241" s="2" t="s">
        <v>24</v>
      </c>
      <c r="E241" s="3" t="s">
        <v>1310</v>
      </c>
      <c r="G241" s="18"/>
      <c r="K241" s="7" t="str">
        <f t="shared" si="7"/>
        <v>Pump5</v>
      </c>
      <c r="L241" s="7" t="str">
        <f t="shared" si="8"/>
        <v>FB_Temp_PhaseC</v>
      </c>
    </row>
    <row r="242" spans="1:12" x14ac:dyDescent="0.25">
      <c r="A242" s="2">
        <v>234</v>
      </c>
      <c r="B242" s="3" t="s">
        <v>474</v>
      </c>
      <c r="C242" s="2" t="s">
        <v>475</v>
      </c>
      <c r="D242" s="2" t="s">
        <v>35</v>
      </c>
      <c r="E242" s="3" t="s">
        <v>1315</v>
      </c>
      <c r="G242" s="18"/>
      <c r="K242" s="7" t="str">
        <f t="shared" si="7"/>
        <v>Meter5</v>
      </c>
      <c r="L242" s="7" t="str">
        <f t="shared" si="8"/>
        <v>U1</v>
      </c>
    </row>
    <row r="243" spans="1:12" x14ac:dyDescent="0.25">
      <c r="A243" s="2">
        <v>235</v>
      </c>
      <c r="B243" s="3" t="s">
        <v>476</v>
      </c>
      <c r="C243" s="2" t="s">
        <v>477</v>
      </c>
      <c r="D243" s="2" t="s">
        <v>35</v>
      </c>
      <c r="E243" s="3" t="s">
        <v>1316</v>
      </c>
      <c r="G243" s="18"/>
      <c r="K243" s="7" t="str">
        <f t="shared" si="7"/>
        <v>Meter5</v>
      </c>
      <c r="L243" s="7" t="str">
        <f t="shared" si="8"/>
        <v>U2</v>
      </c>
    </row>
    <row r="244" spans="1:12" x14ac:dyDescent="0.25">
      <c r="A244" s="2">
        <v>236</v>
      </c>
      <c r="B244" s="3" t="s">
        <v>478</v>
      </c>
      <c r="C244" s="2" t="s">
        <v>479</v>
      </c>
      <c r="D244" s="2" t="s">
        <v>35</v>
      </c>
      <c r="E244" s="3" t="s">
        <v>1317</v>
      </c>
      <c r="G244" s="18"/>
      <c r="K244" s="7" t="str">
        <f t="shared" si="7"/>
        <v>Meter5</v>
      </c>
      <c r="L244" s="7" t="str">
        <f t="shared" si="8"/>
        <v>U3</v>
      </c>
    </row>
    <row r="245" spans="1:12" x14ac:dyDescent="0.25">
      <c r="A245" s="2">
        <v>237</v>
      </c>
      <c r="B245" s="3" t="s">
        <v>480</v>
      </c>
      <c r="C245" s="2" t="s">
        <v>481</v>
      </c>
      <c r="D245" s="2" t="s">
        <v>35</v>
      </c>
      <c r="E245" s="3" t="s">
        <v>1318</v>
      </c>
      <c r="G245" s="18"/>
      <c r="K245" s="7" t="str">
        <f t="shared" si="7"/>
        <v>Meter5</v>
      </c>
      <c r="L245" s="7" t="str">
        <f t="shared" si="8"/>
        <v>U_Ph</v>
      </c>
    </row>
    <row r="246" spans="1:12" x14ac:dyDescent="0.25">
      <c r="A246" s="2">
        <v>238</v>
      </c>
      <c r="B246" s="3" t="s">
        <v>482</v>
      </c>
      <c r="C246" s="2" t="s">
        <v>483</v>
      </c>
      <c r="D246" s="2" t="s">
        <v>35</v>
      </c>
      <c r="E246" s="3" t="s">
        <v>1319</v>
      </c>
      <c r="G246" s="18"/>
      <c r="K246" s="7" t="str">
        <f t="shared" si="7"/>
        <v>Meter5</v>
      </c>
      <c r="L246" s="7" t="str">
        <f t="shared" si="8"/>
        <v>U12</v>
      </c>
    </row>
    <row r="247" spans="1:12" x14ac:dyDescent="0.25">
      <c r="A247" s="2">
        <v>239</v>
      </c>
      <c r="B247" s="3" t="s">
        <v>484</v>
      </c>
      <c r="C247" s="2" t="s">
        <v>485</v>
      </c>
      <c r="D247" s="2" t="s">
        <v>35</v>
      </c>
      <c r="E247" s="3" t="s">
        <v>1320</v>
      </c>
      <c r="G247" s="18"/>
      <c r="K247" s="7" t="str">
        <f t="shared" si="7"/>
        <v>Meter5</v>
      </c>
      <c r="L247" s="7" t="str">
        <f t="shared" si="8"/>
        <v>U23</v>
      </c>
    </row>
    <row r="248" spans="1:12" x14ac:dyDescent="0.25">
      <c r="A248" s="2">
        <v>240</v>
      </c>
      <c r="B248" s="3" t="s">
        <v>486</v>
      </c>
      <c r="C248" s="2" t="s">
        <v>487</v>
      </c>
      <c r="D248" s="2" t="s">
        <v>35</v>
      </c>
      <c r="E248" s="3" t="s">
        <v>1321</v>
      </c>
      <c r="G248" s="18"/>
      <c r="K248" s="7" t="str">
        <f t="shared" si="7"/>
        <v>Meter5</v>
      </c>
      <c r="L248" s="7" t="str">
        <f t="shared" si="8"/>
        <v>U31</v>
      </c>
    </row>
    <row r="249" spans="1:12" x14ac:dyDescent="0.25">
      <c r="A249" s="2">
        <v>241</v>
      </c>
      <c r="B249" s="3" t="s">
        <v>488</v>
      </c>
      <c r="C249" s="2" t="s">
        <v>489</v>
      </c>
      <c r="D249" s="2" t="s">
        <v>35</v>
      </c>
      <c r="E249" s="3" t="s">
        <v>1322</v>
      </c>
      <c r="G249" s="18"/>
      <c r="K249" s="7" t="str">
        <f t="shared" si="7"/>
        <v>Meter5</v>
      </c>
      <c r="L249" s="7" t="str">
        <f t="shared" si="8"/>
        <v>Uline</v>
      </c>
    </row>
    <row r="250" spans="1:12" x14ac:dyDescent="0.25">
      <c r="A250" s="2">
        <v>242</v>
      </c>
      <c r="B250" s="3" t="s">
        <v>490</v>
      </c>
      <c r="C250" s="2" t="s">
        <v>491</v>
      </c>
      <c r="D250" s="2" t="s">
        <v>35</v>
      </c>
      <c r="E250" s="3" t="s">
        <v>1312</v>
      </c>
      <c r="G250" s="18"/>
      <c r="H250" s="7"/>
      <c r="K250" s="7" t="str">
        <f t="shared" si="7"/>
        <v>Meter5</v>
      </c>
      <c r="L250" s="7" t="str">
        <f t="shared" si="8"/>
        <v>I1</v>
      </c>
    </row>
    <row r="251" spans="1:12" x14ac:dyDescent="0.25">
      <c r="A251" s="2">
        <v>243</v>
      </c>
      <c r="B251" s="3" t="s">
        <v>492</v>
      </c>
      <c r="C251" s="2" t="s">
        <v>493</v>
      </c>
      <c r="D251" s="2" t="s">
        <v>35</v>
      </c>
      <c r="E251" s="3" t="s">
        <v>1313</v>
      </c>
      <c r="G251" s="18"/>
      <c r="H251" s="7"/>
      <c r="K251" s="7" t="str">
        <f t="shared" si="7"/>
        <v>Meter5</v>
      </c>
      <c r="L251" s="7" t="str">
        <f t="shared" si="8"/>
        <v>I2</v>
      </c>
    </row>
    <row r="252" spans="1:12" x14ac:dyDescent="0.25">
      <c r="A252" s="2">
        <v>244</v>
      </c>
      <c r="B252" s="3" t="s">
        <v>494</v>
      </c>
      <c r="C252" s="2" t="s">
        <v>495</v>
      </c>
      <c r="D252" s="2" t="s">
        <v>35</v>
      </c>
      <c r="E252" s="3" t="s">
        <v>1314</v>
      </c>
      <c r="G252" s="18"/>
      <c r="H252" s="7"/>
      <c r="K252" s="7" t="str">
        <f t="shared" si="7"/>
        <v>Meter5</v>
      </c>
      <c r="L252" s="7" t="str">
        <f t="shared" si="8"/>
        <v>I3</v>
      </c>
    </row>
    <row r="253" spans="1:12" x14ac:dyDescent="0.25">
      <c r="A253" s="2">
        <v>245</v>
      </c>
      <c r="B253" s="3" t="s">
        <v>496</v>
      </c>
      <c r="C253" s="2" t="s">
        <v>497</v>
      </c>
      <c r="D253" s="2" t="s">
        <v>35</v>
      </c>
      <c r="E253" s="3" t="s">
        <v>1311</v>
      </c>
      <c r="G253" s="18"/>
      <c r="H253" s="3" t="s">
        <v>1311</v>
      </c>
      <c r="K253" s="7" t="str">
        <f t="shared" si="7"/>
        <v>Meter5</v>
      </c>
      <c r="L253" s="7" t="str">
        <f t="shared" si="8"/>
        <v>I_ph</v>
      </c>
    </row>
    <row r="254" spans="1:12" x14ac:dyDescent="0.25">
      <c r="A254" s="2">
        <v>246</v>
      </c>
      <c r="B254" s="3" t="s">
        <v>498</v>
      </c>
      <c r="C254" s="2" t="s">
        <v>499</v>
      </c>
      <c r="D254" s="2" t="s">
        <v>35</v>
      </c>
      <c r="E254" s="3" t="s">
        <v>1323</v>
      </c>
      <c r="G254" s="18"/>
      <c r="K254" s="7" t="str">
        <f t="shared" si="7"/>
        <v>Meter5</v>
      </c>
      <c r="L254" s="7" t="str">
        <f t="shared" si="8"/>
        <v>kw1</v>
      </c>
    </row>
    <row r="255" spans="1:12" x14ac:dyDescent="0.25">
      <c r="A255" s="2">
        <v>247</v>
      </c>
      <c r="B255" s="3" t="s">
        <v>500</v>
      </c>
      <c r="C255" s="2" t="s">
        <v>501</v>
      </c>
      <c r="D255" s="2" t="s">
        <v>35</v>
      </c>
      <c r="E255" s="3" t="s">
        <v>1324</v>
      </c>
      <c r="G255" s="18"/>
      <c r="K255" s="7" t="str">
        <f t="shared" si="7"/>
        <v>Meter5</v>
      </c>
      <c r="L255" s="7" t="str">
        <f t="shared" si="8"/>
        <v>kw2</v>
      </c>
    </row>
    <row r="256" spans="1:12" x14ac:dyDescent="0.25">
      <c r="A256" s="2">
        <v>248</v>
      </c>
      <c r="B256" s="3" t="s">
        <v>502</v>
      </c>
      <c r="C256" s="2" t="s">
        <v>503</v>
      </c>
      <c r="D256" s="2" t="s">
        <v>35</v>
      </c>
      <c r="E256" s="3" t="s">
        <v>1325</v>
      </c>
      <c r="G256" s="18"/>
      <c r="K256" s="7" t="str">
        <f t="shared" si="7"/>
        <v>Meter5</v>
      </c>
      <c r="L256" s="7" t="str">
        <f t="shared" si="8"/>
        <v>kw3</v>
      </c>
    </row>
    <row r="257" spans="1:12" x14ac:dyDescent="0.25">
      <c r="A257" s="2">
        <v>249</v>
      </c>
      <c r="B257" s="3" t="s">
        <v>504</v>
      </c>
      <c r="C257" s="2" t="s">
        <v>505</v>
      </c>
      <c r="D257" s="2" t="s">
        <v>35</v>
      </c>
      <c r="E257" s="3" t="s">
        <v>1326</v>
      </c>
      <c r="G257" s="18"/>
      <c r="K257" s="7" t="str">
        <f t="shared" si="7"/>
        <v>Meter5</v>
      </c>
      <c r="L257" s="7" t="str">
        <f t="shared" si="8"/>
        <v>kva1</v>
      </c>
    </row>
    <row r="258" spans="1:12" x14ac:dyDescent="0.25">
      <c r="A258" s="2">
        <v>250</v>
      </c>
      <c r="B258" s="3" t="s">
        <v>506</v>
      </c>
      <c r="C258" s="2" t="s">
        <v>507</v>
      </c>
      <c r="D258" s="2" t="s">
        <v>35</v>
      </c>
      <c r="E258" s="3" t="s">
        <v>1327</v>
      </c>
      <c r="G258" s="18"/>
      <c r="K258" s="7" t="str">
        <f t="shared" si="7"/>
        <v>Meter5</v>
      </c>
      <c r="L258" s="7" t="str">
        <f t="shared" si="8"/>
        <v>kva2</v>
      </c>
    </row>
    <row r="259" spans="1:12" x14ac:dyDescent="0.25">
      <c r="A259" s="2">
        <v>251</v>
      </c>
      <c r="B259" s="3" t="s">
        <v>508</v>
      </c>
      <c r="C259" s="2" t="s">
        <v>509</v>
      </c>
      <c r="D259" s="2" t="s">
        <v>35</v>
      </c>
      <c r="E259" s="3" t="s">
        <v>1328</v>
      </c>
      <c r="G259" s="18"/>
      <c r="K259" s="7" t="str">
        <f t="shared" si="7"/>
        <v>Meter5</v>
      </c>
      <c r="L259" s="7" t="str">
        <f t="shared" si="8"/>
        <v>kva3</v>
      </c>
    </row>
    <row r="260" spans="1:12" x14ac:dyDescent="0.25">
      <c r="A260" s="2">
        <v>252</v>
      </c>
      <c r="B260" s="3" t="s">
        <v>510</v>
      </c>
      <c r="C260" s="2" t="s">
        <v>511</v>
      </c>
      <c r="D260" s="2" t="s">
        <v>35</v>
      </c>
      <c r="E260" s="3" t="s">
        <v>1329</v>
      </c>
      <c r="G260" s="18"/>
      <c r="K260" s="7" t="str">
        <f t="shared" si="7"/>
        <v>Meter5</v>
      </c>
      <c r="L260" s="7" t="str">
        <f t="shared" si="8"/>
        <v>kvar1</v>
      </c>
    </row>
    <row r="261" spans="1:12" x14ac:dyDescent="0.25">
      <c r="A261" s="2">
        <v>253</v>
      </c>
      <c r="B261" s="3" t="s">
        <v>512</v>
      </c>
      <c r="C261" s="2" t="s">
        <v>513</v>
      </c>
      <c r="D261" s="2" t="s">
        <v>35</v>
      </c>
      <c r="E261" s="3" t="s">
        <v>1330</v>
      </c>
      <c r="G261" s="18"/>
      <c r="K261" s="7" t="str">
        <f t="shared" si="7"/>
        <v>Meter5</v>
      </c>
      <c r="L261" s="7" t="str">
        <f t="shared" si="8"/>
        <v>kvar2</v>
      </c>
    </row>
    <row r="262" spans="1:12" x14ac:dyDescent="0.25">
      <c r="A262" s="2">
        <v>254</v>
      </c>
      <c r="B262" s="3" t="s">
        <v>514</v>
      </c>
      <c r="C262" s="2" t="s">
        <v>515</v>
      </c>
      <c r="D262" s="2" t="s">
        <v>35</v>
      </c>
      <c r="E262" s="3" t="s">
        <v>1331</v>
      </c>
      <c r="G262" s="18"/>
      <c r="K262" s="7" t="str">
        <f t="shared" si="7"/>
        <v>Meter5</v>
      </c>
      <c r="L262" s="7" t="str">
        <f t="shared" si="8"/>
        <v>kvar3</v>
      </c>
    </row>
    <row r="263" spans="1:12" x14ac:dyDescent="0.25">
      <c r="A263" s="2">
        <v>255</v>
      </c>
      <c r="B263" s="3" t="s">
        <v>516</v>
      </c>
      <c r="C263" s="2" t="s">
        <v>517</v>
      </c>
      <c r="D263" s="2" t="s">
        <v>35</v>
      </c>
      <c r="E263" s="3" t="s">
        <v>1332</v>
      </c>
      <c r="G263" s="18"/>
      <c r="K263" s="7" t="str">
        <f t="shared" si="7"/>
        <v>Meter5</v>
      </c>
      <c r="L263" s="7" t="str">
        <f t="shared" si="8"/>
        <v>total_kw</v>
      </c>
    </row>
    <row r="264" spans="1:12" x14ac:dyDescent="0.25">
      <c r="A264" s="2">
        <v>256</v>
      </c>
      <c r="B264" s="3" t="s">
        <v>518</v>
      </c>
      <c r="C264" s="2" t="s">
        <v>519</v>
      </c>
      <c r="D264" s="2" t="s">
        <v>35</v>
      </c>
      <c r="E264" s="3" t="s">
        <v>1333</v>
      </c>
      <c r="G264" s="18"/>
      <c r="K264" s="7" t="str">
        <f t="shared" si="7"/>
        <v>Meter5</v>
      </c>
      <c r="L264" s="7" t="str">
        <f t="shared" si="8"/>
        <v>total_kva</v>
      </c>
    </row>
    <row r="265" spans="1:12" x14ac:dyDescent="0.25">
      <c r="A265" s="2">
        <v>257</v>
      </c>
      <c r="B265" s="3" t="s">
        <v>520</v>
      </c>
      <c r="C265" s="2" t="s">
        <v>521</v>
      </c>
      <c r="D265" s="2" t="s">
        <v>35</v>
      </c>
      <c r="E265" s="3" t="s">
        <v>1334</v>
      </c>
      <c r="G265" s="18"/>
      <c r="K265" s="7" t="str">
        <f t="shared" si="7"/>
        <v>Meter5</v>
      </c>
      <c r="L265" s="7" t="str">
        <f t="shared" si="8"/>
        <v>total_kvar</v>
      </c>
    </row>
    <row r="266" spans="1:12" x14ac:dyDescent="0.25">
      <c r="A266" s="2">
        <v>258</v>
      </c>
      <c r="B266" s="3" t="s">
        <v>522</v>
      </c>
      <c r="C266" s="2" t="s">
        <v>523</v>
      </c>
      <c r="D266" s="2" t="s">
        <v>35</v>
      </c>
      <c r="E266" s="3" t="s">
        <v>1335</v>
      </c>
      <c r="G266" s="18"/>
      <c r="K266" s="7" t="str">
        <f t="shared" ref="K266:K330" si="9">LEFT(B266, SEARCH("_",B266 ) - 1)</f>
        <v>Meter5</v>
      </c>
      <c r="L266" s="7" t="str">
        <f t="shared" si="8"/>
        <v>PF1</v>
      </c>
    </row>
    <row r="267" spans="1:12" x14ac:dyDescent="0.25">
      <c r="A267" s="2">
        <v>259</v>
      </c>
      <c r="B267" s="3" t="s">
        <v>524</v>
      </c>
      <c r="C267" s="2" t="s">
        <v>525</v>
      </c>
      <c r="D267" s="2" t="s">
        <v>35</v>
      </c>
      <c r="E267" s="3" t="s">
        <v>1336</v>
      </c>
      <c r="G267" s="18"/>
      <c r="K267" s="7" t="str">
        <f t="shared" si="9"/>
        <v>Meter5</v>
      </c>
      <c r="L267" s="7" t="str">
        <f t="shared" si="8"/>
        <v>PF2</v>
      </c>
    </row>
    <row r="268" spans="1:12" x14ac:dyDescent="0.25">
      <c r="A268" s="2">
        <v>260</v>
      </c>
      <c r="B268" s="3" t="s">
        <v>526</v>
      </c>
      <c r="C268" s="2" t="s">
        <v>527</v>
      </c>
      <c r="D268" s="2" t="s">
        <v>35</v>
      </c>
      <c r="E268" s="3" t="s">
        <v>1337</v>
      </c>
      <c r="G268" s="18"/>
      <c r="K268" s="7" t="str">
        <f t="shared" si="9"/>
        <v>Meter5</v>
      </c>
      <c r="L268" s="7" t="str">
        <f t="shared" si="8"/>
        <v>PF3</v>
      </c>
    </row>
    <row r="269" spans="1:12" x14ac:dyDescent="0.25">
      <c r="A269" s="2">
        <v>261</v>
      </c>
      <c r="B269" s="3" t="s">
        <v>528</v>
      </c>
      <c r="C269" s="2" t="s">
        <v>529</v>
      </c>
      <c r="D269" s="2" t="s">
        <v>35</v>
      </c>
      <c r="E269" s="3" t="s">
        <v>1338</v>
      </c>
      <c r="G269" s="18"/>
      <c r="K269" s="7" t="str">
        <f t="shared" si="9"/>
        <v>Meter5</v>
      </c>
      <c r="L269" s="7" t="str">
        <f t="shared" si="8"/>
        <v>PF</v>
      </c>
    </row>
    <row r="270" spans="1:12" x14ac:dyDescent="0.25">
      <c r="A270" s="2">
        <v>262</v>
      </c>
      <c r="B270" s="3" t="s">
        <v>530</v>
      </c>
      <c r="C270" s="2" t="s">
        <v>531</v>
      </c>
      <c r="D270" s="2" t="s">
        <v>35</v>
      </c>
      <c r="E270" s="3" t="s">
        <v>1339</v>
      </c>
      <c r="G270" s="18"/>
      <c r="K270" s="7" t="str">
        <f t="shared" si="9"/>
        <v>Meter5</v>
      </c>
      <c r="L270" s="7" t="str">
        <f t="shared" si="8"/>
        <v>freq</v>
      </c>
    </row>
    <row r="271" spans="1:12" x14ac:dyDescent="0.25">
      <c r="A271" s="2">
        <v>263</v>
      </c>
      <c r="B271" s="3" t="s">
        <v>532</v>
      </c>
      <c r="C271" s="2" t="s">
        <v>533</v>
      </c>
      <c r="D271" s="2" t="s">
        <v>35</v>
      </c>
      <c r="E271" s="3" t="s">
        <v>1340</v>
      </c>
      <c r="G271" s="18"/>
      <c r="K271" s="7" t="str">
        <f t="shared" si="9"/>
        <v>Meter5</v>
      </c>
      <c r="L271" s="7" t="str">
        <f t="shared" ref="L271:L335" si="10">RIGHT(B271, LEN(B271)-SEARCH("_",B271 ))</f>
        <v>kwh</v>
      </c>
    </row>
    <row r="272" spans="1:12" x14ac:dyDescent="0.25">
      <c r="A272" s="2">
        <v>264</v>
      </c>
      <c r="B272" s="3" t="s">
        <v>534</v>
      </c>
      <c r="C272" s="2" t="s">
        <v>535</v>
      </c>
      <c r="D272" s="2" t="s">
        <v>35</v>
      </c>
      <c r="E272" s="3" t="s">
        <v>1341</v>
      </c>
      <c r="G272" s="18"/>
      <c r="K272" s="7" t="str">
        <f t="shared" si="9"/>
        <v>Meter5</v>
      </c>
      <c r="L272" s="7" t="str">
        <f t="shared" si="10"/>
        <v>kvah</v>
      </c>
    </row>
    <row r="273" spans="1:12" x14ac:dyDescent="0.25">
      <c r="A273" s="2">
        <v>265</v>
      </c>
      <c r="B273" s="3" t="s">
        <v>536</v>
      </c>
      <c r="C273" s="2" t="s">
        <v>537</v>
      </c>
      <c r="D273" s="2" t="s">
        <v>35</v>
      </c>
      <c r="E273" s="3" t="s">
        <v>1342</v>
      </c>
      <c r="G273" s="18"/>
      <c r="K273" s="7" t="str">
        <f t="shared" si="9"/>
        <v>Meter5</v>
      </c>
      <c r="L273" s="7" t="str">
        <f t="shared" si="10"/>
        <v>kvarh</v>
      </c>
    </row>
    <row r="274" spans="1:12" x14ac:dyDescent="0.25">
      <c r="A274" s="2">
        <v>266</v>
      </c>
      <c r="B274" s="3" t="s">
        <v>538</v>
      </c>
      <c r="C274" s="2" t="s">
        <v>539</v>
      </c>
      <c r="D274" s="2" t="s">
        <v>7</v>
      </c>
      <c r="E274" s="3" t="s">
        <v>1343</v>
      </c>
      <c r="G274" s="18"/>
      <c r="K274" s="7" t="str">
        <f t="shared" si="9"/>
        <v>Pump5</v>
      </c>
      <c r="L274" s="7" t="str">
        <f t="shared" si="10"/>
        <v>Ctrl_run_Pump</v>
      </c>
    </row>
    <row r="275" spans="1:12" x14ac:dyDescent="0.25">
      <c r="A275" s="2">
        <v>267</v>
      </c>
      <c r="B275" s="3" t="s">
        <v>540</v>
      </c>
      <c r="C275" s="2" t="s">
        <v>541</v>
      </c>
      <c r="D275" s="2" t="s">
        <v>7</v>
      </c>
      <c r="E275" s="3" t="s">
        <v>1354</v>
      </c>
      <c r="G275" s="18"/>
      <c r="H275" t="s">
        <v>1496</v>
      </c>
      <c r="K275" s="7" t="str">
        <f t="shared" si="9"/>
        <v>Pump5</v>
      </c>
      <c r="L275" s="7" t="str">
        <f t="shared" si="10"/>
        <v>FB_Fault</v>
      </c>
    </row>
    <row r="276" spans="1:12" x14ac:dyDescent="0.25">
      <c r="A276" s="2">
        <v>268</v>
      </c>
      <c r="B276" s="3" t="s">
        <v>542</v>
      </c>
      <c r="C276" s="2" t="s">
        <v>543</v>
      </c>
      <c r="D276" s="2" t="s">
        <v>7</v>
      </c>
      <c r="E276" s="3" t="s">
        <v>1344</v>
      </c>
      <c r="G276" s="18"/>
      <c r="K276" s="7" t="str">
        <f t="shared" si="9"/>
        <v>Pump5</v>
      </c>
      <c r="L276" s="7" t="str">
        <f t="shared" si="10"/>
        <v>Ctrl_PB_Run</v>
      </c>
    </row>
    <row r="277" spans="1:12" x14ac:dyDescent="0.25">
      <c r="A277" s="2">
        <v>269</v>
      </c>
      <c r="B277" s="3" t="s">
        <v>544</v>
      </c>
      <c r="C277" s="2" t="s">
        <v>545</v>
      </c>
      <c r="D277" s="2" t="s">
        <v>7</v>
      </c>
      <c r="E277" s="3" t="s">
        <v>1345</v>
      </c>
      <c r="G277" s="18"/>
      <c r="K277" s="7" t="str">
        <f t="shared" si="9"/>
        <v>Pump5</v>
      </c>
      <c r="L277" s="7" t="str">
        <f t="shared" si="10"/>
        <v>Ctrl_PB_Stop</v>
      </c>
    </row>
    <row r="278" spans="1:12" x14ac:dyDescent="0.25">
      <c r="A278" s="2">
        <v>270</v>
      </c>
      <c r="B278" s="3" t="s">
        <v>546</v>
      </c>
      <c r="C278" s="2" t="s">
        <v>547</v>
      </c>
      <c r="D278" s="2" t="s">
        <v>7</v>
      </c>
      <c r="E278" s="3" t="s">
        <v>1346</v>
      </c>
      <c r="G278" s="18"/>
      <c r="K278" s="7" t="str">
        <f t="shared" si="9"/>
        <v>Pump5</v>
      </c>
      <c r="L278" s="7" t="str">
        <f t="shared" si="10"/>
        <v>Ctrl_PB_RST</v>
      </c>
    </row>
    <row r="279" spans="1:12" x14ac:dyDescent="0.25">
      <c r="A279" s="2">
        <v>271</v>
      </c>
      <c r="B279" s="3" t="s">
        <v>548</v>
      </c>
      <c r="C279" s="2" t="s">
        <v>549</v>
      </c>
      <c r="D279" s="2" t="s">
        <v>24</v>
      </c>
      <c r="E279" s="3" t="s">
        <v>1347</v>
      </c>
      <c r="G279" s="18"/>
      <c r="K279" s="7" t="str">
        <f t="shared" si="9"/>
        <v>Pump5</v>
      </c>
      <c r="L279" s="7" t="str">
        <f t="shared" si="10"/>
        <v>Time_Run_M</v>
      </c>
    </row>
    <row r="280" spans="1:12" x14ac:dyDescent="0.25">
      <c r="A280" s="2">
        <v>272</v>
      </c>
      <c r="B280" s="3" t="s">
        <v>550</v>
      </c>
      <c r="C280" s="2" t="s">
        <v>551</v>
      </c>
      <c r="D280" s="2" t="s">
        <v>24</v>
      </c>
      <c r="E280" s="3" t="s">
        <v>1348</v>
      </c>
      <c r="G280" s="18"/>
      <c r="K280" s="7" t="str">
        <f t="shared" si="9"/>
        <v>Pump5</v>
      </c>
      <c r="L280" s="7" t="str">
        <f t="shared" si="10"/>
        <v>Time_Run_H</v>
      </c>
    </row>
    <row r="281" spans="1:12" x14ac:dyDescent="0.25">
      <c r="A281" s="2">
        <v>273</v>
      </c>
      <c r="B281" s="3" t="s">
        <v>552</v>
      </c>
      <c r="C281" s="2" t="s">
        <v>553</v>
      </c>
      <c r="D281" s="2" t="s">
        <v>24</v>
      </c>
      <c r="E281" s="3" t="s">
        <v>1349</v>
      </c>
      <c r="G281" s="18"/>
      <c r="K281" s="7" t="str">
        <f t="shared" si="9"/>
        <v>Pump5</v>
      </c>
      <c r="L281" s="7" t="str">
        <f t="shared" si="10"/>
        <v>Total_Time_Run_M</v>
      </c>
    </row>
    <row r="282" spans="1:12" x14ac:dyDescent="0.25">
      <c r="A282" s="2">
        <v>274</v>
      </c>
      <c r="B282" s="3" t="s">
        <v>554</v>
      </c>
      <c r="C282" s="2" t="s">
        <v>555</v>
      </c>
      <c r="D282" s="2" t="s">
        <v>24</v>
      </c>
      <c r="E282" s="3" t="s">
        <v>1350</v>
      </c>
      <c r="G282" s="18"/>
      <c r="H282" t="s">
        <v>1407</v>
      </c>
      <c r="K282" s="7" t="str">
        <f t="shared" si="9"/>
        <v>Pump5</v>
      </c>
      <c r="L282" s="7" t="str">
        <f t="shared" si="10"/>
        <v>Total_Time_Run_H</v>
      </c>
    </row>
    <row r="283" spans="1:12" x14ac:dyDescent="0.25">
      <c r="A283" s="2">
        <v>275</v>
      </c>
      <c r="B283" s="3" t="s">
        <v>556</v>
      </c>
      <c r="C283" s="2" t="s">
        <v>557</v>
      </c>
      <c r="D283" s="2" t="s">
        <v>24</v>
      </c>
      <c r="E283" s="3" t="s">
        <v>1351</v>
      </c>
      <c r="G283" s="18"/>
      <c r="K283" s="7" t="str">
        <f t="shared" si="9"/>
        <v>Pump5</v>
      </c>
      <c r="L283" s="7" t="str">
        <f t="shared" si="10"/>
        <v>NumberOfclose</v>
      </c>
    </row>
    <row r="284" spans="1:12" x14ac:dyDescent="0.25">
      <c r="A284" s="2">
        <v>276</v>
      </c>
      <c r="B284" s="3" t="s">
        <v>558</v>
      </c>
      <c r="C284" s="2" t="s">
        <v>559</v>
      </c>
      <c r="D284" s="2" t="s">
        <v>7</v>
      </c>
      <c r="E284" s="3" t="s">
        <v>1355</v>
      </c>
      <c r="G284" s="18" t="s">
        <v>1500</v>
      </c>
      <c r="K284" s="7" t="str">
        <f t="shared" si="9"/>
        <v>Pump6</v>
      </c>
      <c r="L284" s="7" t="str">
        <f t="shared" si="10"/>
        <v>FB_auto</v>
      </c>
    </row>
    <row r="285" spans="1:12" x14ac:dyDescent="0.25">
      <c r="A285" s="2">
        <v>277</v>
      </c>
      <c r="B285" s="3" t="s">
        <v>560</v>
      </c>
      <c r="C285" s="2" t="s">
        <v>561</v>
      </c>
      <c r="D285" s="2" t="s">
        <v>7</v>
      </c>
      <c r="E285" s="3" t="s">
        <v>1306</v>
      </c>
      <c r="G285" s="18"/>
      <c r="H285" t="s">
        <v>1505</v>
      </c>
      <c r="K285" s="7" t="str">
        <f t="shared" si="9"/>
        <v>Pump6</v>
      </c>
      <c r="L285" s="7" t="str">
        <f t="shared" si="10"/>
        <v>FB_Run</v>
      </c>
    </row>
    <row r="286" spans="1:12" x14ac:dyDescent="0.25">
      <c r="A286" s="2">
        <v>278</v>
      </c>
      <c r="B286" s="3" t="s">
        <v>562</v>
      </c>
      <c r="C286" s="2" t="s">
        <v>563</v>
      </c>
      <c r="D286" s="2" t="s">
        <v>7</v>
      </c>
      <c r="E286" s="3" t="s">
        <v>1307</v>
      </c>
      <c r="G286" s="18"/>
      <c r="K286" s="7" t="str">
        <f t="shared" si="9"/>
        <v>Pump6</v>
      </c>
      <c r="L286" s="7" t="str">
        <f t="shared" si="10"/>
        <v>FB_Fault_V</v>
      </c>
    </row>
    <row r="287" spans="1:12" x14ac:dyDescent="0.25">
      <c r="A287" s="2">
        <v>279</v>
      </c>
      <c r="B287" s="3" t="s">
        <v>564</v>
      </c>
      <c r="C287" s="2" t="s">
        <v>565</v>
      </c>
      <c r="D287" s="2" t="s">
        <v>7</v>
      </c>
      <c r="E287" s="3" t="s">
        <v>1307</v>
      </c>
      <c r="G287" s="18"/>
      <c r="K287" s="7" t="str">
        <f t="shared" si="9"/>
        <v>Pump6</v>
      </c>
      <c r="L287" s="7" t="str">
        <f t="shared" si="10"/>
        <v>FB_Fault_SS</v>
      </c>
    </row>
    <row r="288" spans="1:12" x14ac:dyDescent="0.25">
      <c r="A288" s="2">
        <v>280</v>
      </c>
      <c r="B288" s="3" t="s">
        <v>566</v>
      </c>
      <c r="C288" s="2" t="s">
        <v>567</v>
      </c>
      <c r="D288" s="2" t="s">
        <v>7</v>
      </c>
      <c r="E288" s="3" t="s">
        <v>1356</v>
      </c>
      <c r="G288" s="18"/>
      <c r="K288" s="7" t="str">
        <f t="shared" si="9"/>
        <v>Pump6</v>
      </c>
      <c r="L288" s="7" t="str">
        <f t="shared" si="10"/>
        <v>FB_Fault_Temp</v>
      </c>
    </row>
    <row r="289" spans="1:12" x14ac:dyDescent="0.25">
      <c r="A289" s="2">
        <v>281</v>
      </c>
      <c r="B289" s="3" t="s">
        <v>568</v>
      </c>
      <c r="C289" s="2" t="s">
        <v>569</v>
      </c>
      <c r="D289" s="2" t="s">
        <v>7</v>
      </c>
      <c r="E289" s="3" t="s">
        <v>1307</v>
      </c>
      <c r="G289" s="18"/>
      <c r="K289" s="7" t="str">
        <f t="shared" si="9"/>
        <v>Pump6</v>
      </c>
      <c r="L289" s="7" t="str">
        <f t="shared" si="10"/>
        <v>FB_Fault_Curent</v>
      </c>
    </row>
    <row r="290" spans="1:12" x14ac:dyDescent="0.25">
      <c r="A290" s="2">
        <v>282</v>
      </c>
      <c r="B290" s="3" t="s">
        <v>570</v>
      </c>
      <c r="C290" s="2" t="s">
        <v>571</v>
      </c>
      <c r="D290" s="2" t="s">
        <v>7</v>
      </c>
      <c r="E290" s="3" t="s">
        <v>1357</v>
      </c>
      <c r="G290" s="18"/>
      <c r="K290" s="7" t="str">
        <f t="shared" si="9"/>
        <v>Pump6</v>
      </c>
      <c r="L290" s="7" t="str">
        <f t="shared" si="10"/>
        <v>Clock_1m</v>
      </c>
    </row>
    <row r="291" spans="1:12" x14ac:dyDescent="0.25">
      <c r="A291" s="2">
        <v>283</v>
      </c>
      <c r="B291" s="3" t="s">
        <v>572</v>
      </c>
      <c r="C291" s="2" t="s">
        <v>573</v>
      </c>
      <c r="D291" s="2" t="s">
        <v>7</v>
      </c>
      <c r="E291" s="3" t="s">
        <v>1358</v>
      </c>
      <c r="G291" s="18"/>
      <c r="H291" t="s">
        <v>1495</v>
      </c>
      <c r="K291" s="7" t="str">
        <f t="shared" si="9"/>
        <v>Pump6</v>
      </c>
      <c r="L291" s="7" t="str">
        <f t="shared" si="10"/>
        <v>FB_stop</v>
      </c>
    </row>
    <row r="292" spans="1:12" x14ac:dyDescent="0.25">
      <c r="A292" s="2">
        <v>8</v>
      </c>
      <c r="B292" s="12" t="s">
        <v>1438</v>
      </c>
      <c r="C292" s="2" t="s">
        <v>21</v>
      </c>
      <c r="D292" s="2" t="s">
        <v>7</v>
      </c>
      <c r="E292" s="3" t="s">
        <v>1393</v>
      </c>
      <c r="G292" s="18"/>
      <c r="H292" t="s">
        <v>1494</v>
      </c>
      <c r="K292" s="7" t="str">
        <f t="shared" si="9"/>
        <v>Pump6</v>
      </c>
      <c r="L292" s="7" t="str">
        <f t="shared" si="10"/>
        <v>FB_maintenance</v>
      </c>
    </row>
    <row r="293" spans="1:12" x14ac:dyDescent="0.25">
      <c r="A293" s="2">
        <v>284</v>
      </c>
      <c r="B293" s="3" t="s">
        <v>574</v>
      </c>
      <c r="C293" s="2" t="s">
        <v>575</v>
      </c>
      <c r="D293" s="2" t="s">
        <v>24</v>
      </c>
      <c r="E293" s="3" t="s">
        <v>1352</v>
      </c>
      <c r="G293" s="18"/>
      <c r="K293" s="7" t="str">
        <f t="shared" si="9"/>
        <v>Pump6</v>
      </c>
      <c r="L293" s="7" t="str">
        <f t="shared" si="10"/>
        <v>FB_Temp_DEBearing</v>
      </c>
    </row>
    <row r="294" spans="1:12" x14ac:dyDescent="0.25">
      <c r="A294" s="2">
        <v>285</v>
      </c>
      <c r="B294" s="3" t="s">
        <v>576</v>
      </c>
      <c r="C294" s="2" t="s">
        <v>577</v>
      </c>
      <c r="D294" s="2" t="s">
        <v>24</v>
      </c>
      <c r="E294" s="3" t="s">
        <v>1353</v>
      </c>
      <c r="G294" s="18"/>
      <c r="K294" s="7" t="str">
        <f t="shared" si="9"/>
        <v>Pump6</v>
      </c>
      <c r="L294" s="7" t="str">
        <f t="shared" si="10"/>
        <v>FB_Temp_NDEBearing</v>
      </c>
    </row>
    <row r="295" spans="1:12" x14ac:dyDescent="0.25">
      <c r="A295" s="2">
        <v>286</v>
      </c>
      <c r="B295" s="3" t="s">
        <v>578</v>
      </c>
      <c r="C295" s="2" t="s">
        <v>579</v>
      </c>
      <c r="D295" s="2" t="s">
        <v>24</v>
      </c>
      <c r="E295" s="3" t="s">
        <v>1308</v>
      </c>
      <c r="G295" s="18"/>
      <c r="K295" s="7" t="str">
        <f t="shared" si="9"/>
        <v>Pump6</v>
      </c>
      <c r="L295" s="7" t="str">
        <f t="shared" si="10"/>
        <v>FB_Temp_PhaseA</v>
      </c>
    </row>
    <row r="296" spans="1:12" x14ac:dyDescent="0.25">
      <c r="A296" s="2">
        <v>287</v>
      </c>
      <c r="B296" s="3" t="s">
        <v>580</v>
      </c>
      <c r="C296" s="2" t="s">
        <v>581</v>
      </c>
      <c r="D296" s="2" t="s">
        <v>24</v>
      </c>
      <c r="E296" s="3" t="s">
        <v>1309</v>
      </c>
      <c r="G296" s="18"/>
      <c r="K296" s="7" t="str">
        <f t="shared" si="9"/>
        <v>Pump6</v>
      </c>
      <c r="L296" s="7" t="str">
        <f t="shared" si="10"/>
        <v>FB_Temp_PhaseB</v>
      </c>
    </row>
    <row r="297" spans="1:12" x14ac:dyDescent="0.25">
      <c r="A297" s="2">
        <v>288</v>
      </c>
      <c r="B297" s="3" t="s">
        <v>582</v>
      </c>
      <c r="C297" s="2" t="s">
        <v>583</v>
      </c>
      <c r="D297" s="2" t="s">
        <v>24</v>
      </c>
      <c r="E297" s="3" t="s">
        <v>1310</v>
      </c>
      <c r="G297" s="18"/>
      <c r="K297" s="7" t="str">
        <f t="shared" si="9"/>
        <v>Pump6</v>
      </c>
      <c r="L297" s="7" t="str">
        <f t="shared" si="10"/>
        <v>FB_Temp_PhaseC</v>
      </c>
    </row>
    <row r="298" spans="1:12" x14ac:dyDescent="0.25">
      <c r="A298" s="2">
        <v>289</v>
      </c>
      <c r="B298" s="3" t="s">
        <v>584</v>
      </c>
      <c r="C298" s="2" t="s">
        <v>585</v>
      </c>
      <c r="D298" s="2" t="s">
        <v>35</v>
      </c>
      <c r="E298" s="3" t="s">
        <v>1315</v>
      </c>
      <c r="G298" s="18"/>
      <c r="K298" s="7" t="str">
        <f t="shared" si="9"/>
        <v>Meter6</v>
      </c>
      <c r="L298" s="7" t="str">
        <f t="shared" si="10"/>
        <v>U1</v>
      </c>
    </row>
    <row r="299" spans="1:12" x14ac:dyDescent="0.25">
      <c r="A299" s="2">
        <v>290</v>
      </c>
      <c r="B299" s="3" t="s">
        <v>586</v>
      </c>
      <c r="C299" s="2" t="s">
        <v>587</v>
      </c>
      <c r="D299" s="2" t="s">
        <v>35</v>
      </c>
      <c r="E299" s="3" t="s">
        <v>1316</v>
      </c>
      <c r="G299" s="18"/>
      <c r="K299" s="7" t="str">
        <f t="shared" si="9"/>
        <v>Meter6</v>
      </c>
      <c r="L299" s="7" t="str">
        <f t="shared" si="10"/>
        <v>U2</v>
      </c>
    </row>
    <row r="300" spans="1:12" x14ac:dyDescent="0.25">
      <c r="A300" s="2">
        <v>291</v>
      </c>
      <c r="B300" s="3" t="s">
        <v>588</v>
      </c>
      <c r="C300" s="2" t="s">
        <v>589</v>
      </c>
      <c r="D300" s="2" t="s">
        <v>35</v>
      </c>
      <c r="E300" s="3" t="s">
        <v>1317</v>
      </c>
      <c r="G300" s="18"/>
      <c r="K300" s="7" t="str">
        <f t="shared" si="9"/>
        <v>Meter6</v>
      </c>
      <c r="L300" s="7" t="str">
        <f t="shared" si="10"/>
        <v>U3</v>
      </c>
    </row>
    <row r="301" spans="1:12" x14ac:dyDescent="0.25">
      <c r="A301" s="2">
        <v>292</v>
      </c>
      <c r="B301" s="3" t="s">
        <v>590</v>
      </c>
      <c r="C301" s="2" t="s">
        <v>591</v>
      </c>
      <c r="D301" s="2" t="s">
        <v>35</v>
      </c>
      <c r="E301" s="3" t="s">
        <v>1318</v>
      </c>
      <c r="G301" s="18"/>
      <c r="K301" s="7" t="str">
        <f t="shared" si="9"/>
        <v>Meter6</v>
      </c>
      <c r="L301" s="7" t="str">
        <f t="shared" si="10"/>
        <v>U_Ph</v>
      </c>
    </row>
    <row r="302" spans="1:12" x14ac:dyDescent="0.25">
      <c r="A302" s="2">
        <v>293</v>
      </c>
      <c r="B302" s="3" t="s">
        <v>592</v>
      </c>
      <c r="C302" s="2" t="s">
        <v>593</v>
      </c>
      <c r="D302" s="2" t="s">
        <v>35</v>
      </c>
      <c r="E302" s="3" t="s">
        <v>1319</v>
      </c>
      <c r="G302" s="18"/>
      <c r="K302" s="7" t="str">
        <f t="shared" si="9"/>
        <v>Meter6</v>
      </c>
      <c r="L302" s="7" t="str">
        <f t="shared" si="10"/>
        <v>U12</v>
      </c>
    </row>
    <row r="303" spans="1:12" x14ac:dyDescent="0.25">
      <c r="A303" s="2">
        <v>294</v>
      </c>
      <c r="B303" s="3" t="s">
        <v>594</v>
      </c>
      <c r="C303" s="2" t="s">
        <v>595</v>
      </c>
      <c r="D303" s="2" t="s">
        <v>35</v>
      </c>
      <c r="E303" s="3" t="s">
        <v>1320</v>
      </c>
      <c r="G303" s="18"/>
      <c r="K303" s="7" t="str">
        <f t="shared" si="9"/>
        <v>Meter6</v>
      </c>
      <c r="L303" s="7" t="str">
        <f t="shared" si="10"/>
        <v>U23</v>
      </c>
    </row>
    <row r="304" spans="1:12" x14ac:dyDescent="0.25">
      <c r="A304" s="2">
        <v>295</v>
      </c>
      <c r="B304" s="3" t="s">
        <v>596</v>
      </c>
      <c r="C304" s="2" t="s">
        <v>597</v>
      </c>
      <c r="D304" s="2" t="s">
        <v>35</v>
      </c>
      <c r="E304" s="3" t="s">
        <v>1321</v>
      </c>
      <c r="G304" s="18"/>
      <c r="K304" s="7" t="str">
        <f t="shared" si="9"/>
        <v>Meter6</v>
      </c>
      <c r="L304" s="7" t="str">
        <f t="shared" si="10"/>
        <v>U31</v>
      </c>
    </row>
    <row r="305" spans="1:12" x14ac:dyDescent="0.25">
      <c r="A305" s="2">
        <v>296</v>
      </c>
      <c r="B305" s="3" t="s">
        <v>598</v>
      </c>
      <c r="C305" s="2" t="s">
        <v>599</v>
      </c>
      <c r="D305" s="2" t="s">
        <v>35</v>
      </c>
      <c r="E305" s="3" t="s">
        <v>1322</v>
      </c>
      <c r="G305" s="18"/>
      <c r="K305" s="7" t="str">
        <f t="shared" si="9"/>
        <v>Meter6</v>
      </c>
      <c r="L305" s="7" t="str">
        <f t="shared" si="10"/>
        <v>Uline</v>
      </c>
    </row>
    <row r="306" spans="1:12" x14ac:dyDescent="0.25">
      <c r="A306" s="2">
        <v>297</v>
      </c>
      <c r="B306" s="3" t="s">
        <v>600</v>
      </c>
      <c r="C306" s="2" t="s">
        <v>601</v>
      </c>
      <c r="D306" s="2" t="s">
        <v>35</v>
      </c>
      <c r="E306" s="3" t="s">
        <v>1312</v>
      </c>
      <c r="G306" s="18"/>
      <c r="H306" s="7"/>
      <c r="K306" s="7" t="str">
        <f t="shared" si="9"/>
        <v>Meter6</v>
      </c>
      <c r="L306" s="7" t="str">
        <f t="shared" si="10"/>
        <v>I1</v>
      </c>
    </row>
    <row r="307" spans="1:12" x14ac:dyDescent="0.25">
      <c r="A307" s="2">
        <v>298</v>
      </c>
      <c r="B307" s="3" t="s">
        <v>602</v>
      </c>
      <c r="C307" s="2" t="s">
        <v>603</v>
      </c>
      <c r="D307" s="2" t="s">
        <v>35</v>
      </c>
      <c r="E307" s="3" t="s">
        <v>1313</v>
      </c>
      <c r="G307" s="18"/>
      <c r="H307" s="7"/>
      <c r="K307" s="7" t="str">
        <f t="shared" si="9"/>
        <v>Meter6</v>
      </c>
      <c r="L307" s="7" t="str">
        <f t="shared" si="10"/>
        <v>I2</v>
      </c>
    </row>
    <row r="308" spans="1:12" x14ac:dyDescent="0.25">
      <c r="A308" s="2">
        <v>299</v>
      </c>
      <c r="B308" s="3" t="s">
        <v>604</v>
      </c>
      <c r="C308" s="2" t="s">
        <v>605</v>
      </c>
      <c r="D308" s="2" t="s">
        <v>35</v>
      </c>
      <c r="E308" s="3" t="s">
        <v>1314</v>
      </c>
      <c r="G308" s="18"/>
      <c r="H308" s="7"/>
      <c r="K308" s="7" t="str">
        <f t="shared" si="9"/>
        <v>Meter6</v>
      </c>
      <c r="L308" s="7" t="str">
        <f t="shared" si="10"/>
        <v>I3</v>
      </c>
    </row>
    <row r="309" spans="1:12" x14ac:dyDescent="0.25">
      <c r="A309" s="2">
        <v>300</v>
      </c>
      <c r="B309" s="3" t="s">
        <v>606</v>
      </c>
      <c r="C309" s="2" t="s">
        <v>607</v>
      </c>
      <c r="D309" s="2" t="s">
        <v>35</v>
      </c>
      <c r="E309" s="3" t="s">
        <v>1311</v>
      </c>
      <c r="G309" s="18"/>
      <c r="H309" s="3" t="s">
        <v>1311</v>
      </c>
      <c r="K309" s="7" t="str">
        <f t="shared" si="9"/>
        <v>Meter6</v>
      </c>
      <c r="L309" s="7" t="str">
        <f t="shared" si="10"/>
        <v>I_ph</v>
      </c>
    </row>
    <row r="310" spans="1:12" x14ac:dyDescent="0.25">
      <c r="A310" s="2">
        <v>301</v>
      </c>
      <c r="B310" s="3" t="s">
        <v>608</v>
      </c>
      <c r="C310" s="2" t="s">
        <v>609</v>
      </c>
      <c r="D310" s="2" t="s">
        <v>35</v>
      </c>
      <c r="E310" s="3" t="s">
        <v>1323</v>
      </c>
      <c r="G310" s="18"/>
      <c r="K310" s="7" t="str">
        <f t="shared" si="9"/>
        <v>Meter6</v>
      </c>
      <c r="L310" s="7" t="str">
        <f t="shared" si="10"/>
        <v>kw1</v>
      </c>
    </row>
    <row r="311" spans="1:12" x14ac:dyDescent="0.25">
      <c r="A311" s="2">
        <v>302</v>
      </c>
      <c r="B311" s="3" t="s">
        <v>610</v>
      </c>
      <c r="C311" s="2" t="s">
        <v>611</v>
      </c>
      <c r="D311" s="2" t="s">
        <v>35</v>
      </c>
      <c r="E311" s="3" t="s">
        <v>1324</v>
      </c>
      <c r="G311" s="18"/>
      <c r="K311" s="7" t="str">
        <f t="shared" si="9"/>
        <v>Meter6</v>
      </c>
      <c r="L311" s="7" t="str">
        <f t="shared" si="10"/>
        <v>kw2</v>
      </c>
    </row>
    <row r="312" spans="1:12" x14ac:dyDescent="0.25">
      <c r="A312" s="2">
        <v>303</v>
      </c>
      <c r="B312" s="3" t="s">
        <v>612</v>
      </c>
      <c r="C312" s="2" t="s">
        <v>613</v>
      </c>
      <c r="D312" s="2" t="s">
        <v>35</v>
      </c>
      <c r="E312" s="3" t="s">
        <v>1325</v>
      </c>
      <c r="G312" s="18"/>
      <c r="K312" s="7" t="str">
        <f t="shared" si="9"/>
        <v>Meter6</v>
      </c>
      <c r="L312" s="7" t="str">
        <f t="shared" si="10"/>
        <v>kw3</v>
      </c>
    </row>
    <row r="313" spans="1:12" x14ac:dyDescent="0.25">
      <c r="A313" s="2">
        <v>304</v>
      </c>
      <c r="B313" s="3" t="s">
        <v>614</v>
      </c>
      <c r="C313" s="2" t="s">
        <v>615</v>
      </c>
      <c r="D313" s="2" t="s">
        <v>35</v>
      </c>
      <c r="E313" s="3" t="s">
        <v>1326</v>
      </c>
      <c r="G313" s="18"/>
      <c r="K313" s="7" t="str">
        <f t="shared" si="9"/>
        <v>Meter6</v>
      </c>
      <c r="L313" s="7" t="str">
        <f t="shared" si="10"/>
        <v>kva1</v>
      </c>
    </row>
    <row r="314" spans="1:12" x14ac:dyDescent="0.25">
      <c r="A314" s="2">
        <v>305</v>
      </c>
      <c r="B314" s="3" t="s">
        <v>616</v>
      </c>
      <c r="C314" s="2" t="s">
        <v>617</v>
      </c>
      <c r="D314" s="2" t="s">
        <v>35</v>
      </c>
      <c r="E314" s="3" t="s">
        <v>1327</v>
      </c>
      <c r="G314" s="18"/>
      <c r="K314" s="7" t="str">
        <f t="shared" si="9"/>
        <v>Meter6</v>
      </c>
      <c r="L314" s="7" t="str">
        <f t="shared" si="10"/>
        <v>kva2</v>
      </c>
    </row>
    <row r="315" spans="1:12" x14ac:dyDescent="0.25">
      <c r="A315" s="2">
        <v>306</v>
      </c>
      <c r="B315" s="3" t="s">
        <v>618</v>
      </c>
      <c r="C315" s="2" t="s">
        <v>619</v>
      </c>
      <c r="D315" s="2" t="s">
        <v>35</v>
      </c>
      <c r="E315" s="3" t="s">
        <v>1328</v>
      </c>
      <c r="G315" s="18"/>
      <c r="K315" s="7" t="str">
        <f t="shared" si="9"/>
        <v>Meter6</v>
      </c>
      <c r="L315" s="7" t="str">
        <f t="shared" si="10"/>
        <v>kva3</v>
      </c>
    </row>
    <row r="316" spans="1:12" x14ac:dyDescent="0.25">
      <c r="A316" s="2">
        <v>307</v>
      </c>
      <c r="B316" s="3" t="s">
        <v>620</v>
      </c>
      <c r="C316" s="2" t="s">
        <v>621</v>
      </c>
      <c r="D316" s="2" t="s">
        <v>35</v>
      </c>
      <c r="E316" s="3" t="s">
        <v>1329</v>
      </c>
      <c r="G316" s="18"/>
      <c r="K316" s="7" t="str">
        <f t="shared" si="9"/>
        <v>Meter6</v>
      </c>
      <c r="L316" s="7" t="str">
        <f t="shared" si="10"/>
        <v>kvar1</v>
      </c>
    </row>
    <row r="317" spans="1:12" x14ac:dyDescent="0.25">
      <c r="A317" s="2">
        <v>308</v>
      </c>
      <c r="B317" s="3" t="s">
        <v>622</v>
      </c>
      <c r="C317" s="2" t="s">
        <v>623</v>
      </c>
      <c r="D317" s="2" t="s">
        <v>35</v>
      </c>
      <c r="E317" s="3" t="s">
        <v>1330</v>
      </c>
      <c r="G317" s="18"/>
      <c r="K317" s="7" t="str">
        <f t="shared" si="9"/>
        <v>Meter6</v>
      </c>
      <c r="L317" s="7" t="str">
        <f t="shared" si="10"/>
        <v>kvar2</v>
      </c>
    </row>
    <row r="318" spans="1:12" x14ac:dyDescent="0.25">
      <c r="A318" s="2">
        <v>309</v>
      </c>
      <c r="B318" s="3" t="s">
        <v>624</v>
      </c>
      <c r="C318" s="2" t="s">
        <v>625</v>
      </c>
      <c r="D318" s="2" t="s">
        <v>35</v>
      </c>
      <c r="E318" s="3" t="s">
        <v>1331</v>
      </c>
      <c r="G318" s="18"/>
      <c r="K318" s="7" t="str">
        <f t="shared" si="9"/>
        <v>Meter6</v>
      </c>
      <c r="L318" s="7" t="str">
        <f t="shared" si="10"/>
        <v>kvar3</v>
      </c>
    </row>
    <row r="319" spans="1:12" x14ac:dyDescent="0.25">
      <c r="A319" s="2">
        <v>310</v>
      </c>
      <c r="B319" s="3" t="s">
        <v>626</v>
      </c>
      <c r="C319" s="2" t="s">
        <v>627</v>
      </c>
      <c r="D319" s="2" t="s">
        <v>35</v>
      </c>
      <c r="E319" s="3" t="s">
        <v>1332</v>
      </c>
      <c r="G319" s="18"/>
      <c r="K319" s="7" t="str">
        <f t="shared" si="9"/>
        <v>Meter6</v>
      </c>
      <c r="L319" s="7" t="str">
        <f t="shared" si="10"/>
        <v>total_kw</v>
      </c>
    </row>
    <row r="320" spans="1:12" x14ac:dyDescent="0.25">
      <c r="A320" s="2">
        <v>311</v>
      </c>
      <c r="B320" s="3" t="s">
        <v>628</v>
      </c>
      <c r="C320" s="2" t="s">
        <v>629</v>
      </c>
      <c r="D320" s="2" t="s">
        <v>35</v>
      </c>
      <c r="E320" s="3" t="s">
        <v>1333</v>
      </c>
      <c r="G320" s="18"/>
      <c r="K320" s="7" t="str">
        <f t="shared" si="9"/>
        <v>Meter6</v>
      </c>
      <c r="L320" s="7" t="str">
        <f t="shared" si="10"/>
        <v>total_kva</v>
      </c>
    </row>
    <row r="321" spans="1:12" x14ac:dyDescent="0.25">
      <c r="A321" s="2">
        <v>312</v>
      </c>
      <c r="B321" s="3" t="s">
        <v>630</v>
      </c>
      <c r="C321" s="2" t="s">
        <v>631</v>
      </c>
      <c r="D321" s="2" t="s">
        <v>35</v>
      </c>
      <c r="E321" s="3" t="s">
        <v>1334</v>
      </c>
      <c r="G321" s="18"/>
      <c r="K321" s="7" t="str">
        <f t="shared" si="9"/>
        <v>Meter6</v>
      </c>
      <c r="L321" s="7" t="str">
        <f t="shared" si="10"/>
        <v>total_kvar</v>
      </c>
    </row>
    <row r="322" spans="1:12" x14ac:dyDescent="0.25">
      <c r="A322" s="2">
        <v>313</v>
      </c>
      <c r="B322" s="3" t="s">
        <v>632</v>
      </c>
      <c r="C322" s="2" t="s">
        <v>633</v>
      </c>
      <c r="D322" s="2" t="s">
        <v>35</v>
      </c>
      <c r="E322" s="3" t="s">
        <v>1335</v>
      </c>
      <c r="G322" s="18"/>
      <c r="K322" s="7" t="str">
        <f t="shared" si="9"/>
        <v>Meter6</v>
      </c>
      <c r="L322" s="7" t="str">
        <f t="shared" si="10"/>
        <v>PF1</v>
      </c>
    </row>
    <row r="323" spans="1:12" x14ac:dyDescent="0.25">
      <c r="A323" s="2">
        <v>314</v>
      </c>
      <c r="B323" s="3" t="s">
        <v>634</v>
      </c>
      <c r="C323" s="2" t="s">
        <v>635</v>
      </c>
      <c r="D323" s="2" t="s">
        <v>35</v>
      </c>
      <c r="E323" s="3" t="s">
        <v>1336</v>
      </c>
      <c r="G323" s="18"/>
      <c r="K323" s="7" t="str">
        <f t="shared" si="9"/>
        <v>Meter6</v>
      </c>
      <c r="L323" s="7" t="str">
        <f t="shared" si="10"/>
        <v>PF2</v>
      </c>
    </row>
    <row r="324" spans="1:12" x14ac:dyDescent="0.25">
      <c r="A324" s="2">
        <v>315</v>
      </c>
      <c r="B324" s="3" t="s">
        <v>636</v>
      </c>
      <c r="C324" s="2" t="s">
        <v>637</v>
      </c>
      <c r="D324" s="2" t="s">
        <v>35</v>
      </c>
      <c r="E324" s="3" t="s">
        <v>1337</v>
      </c>
      <c r="G324" s="18"/>
      <c r="K324" s="7" t="str">
        <f t="shared" si="9"/>
        <v>Meter6</v>
      </c>
      <c r="L324" s="7" t="str">
        <f t="shared" si="10"/>
        <v>PF3</v>
      </c>
    </row>
    <row r="325" spans="1:12" x14ac:dyDescent="0.25">
      <c r="A325" s="2">
        <v>316</v>
      </c>
      <c r="B325" s="3" t="s">
        <v>638</v>
      </c>
      <c r="C325" s="2" t="s">
        <v>639</v>
      </c>
      <c r="D325" s="2" t="s">
        <v>35</v>
      </c>
      <c r="E325" s="3" t="s">
        <v>1338</v>
      </c>
      <c r="G325" s="18"/>
      <c r="K325" s="7" t="str">
        <f t="shared" si="9"/>
        <v>Meter6</v>
      </c>
      <c r="L325" s="7" t="str">
        <f t="shared" si="10"/>
        <v>PF</v>
      </c>
    </row>
    <row r="326" spans="1:12" x14ac:dyDescent="0.25">
      <c r="A326" s="2">
        <v>317</v>
      </c>
      <c r="B326" s="3" t="s">
        <v>640</v>
      </c>
      <c r="C326" s="2" t="s">
        <v>641</v>
      </c>
      <c r="D326" s="2" t="s">
        <v>35</v>
      </c>
      <c r="E326" s="3" t="s">
        <v>1339</v>
      </c>
      <c r="G326" s="18"/>
      <c r="K326" s="7" t="str">
        <f t="shared" si="9"/>
        <v>Meter6</v>
      </c>
      <c r="L326" s="7" t="str">
        <f t="shared" si="10"/>
        <v>freq</v>
      </c>
    </row>
    <row r="327" spans="1:12" x14ac:dyDescent="0.25">
      <c r="A327" s="2">
        <v>318</v>
      </c>
      <c r="B327" s="3" t="s">
        <v>642</v>
      </c>
      <c r="C327" s="2" t="s">
        <v>643</v>
      </c>
      <c r="D327" s="2" t="s">
        <v>35</v>
      </c>
      <c r="E327" s="3" t="s">
        <v>1340</v>
      </c>
      <c r="G327" s="18"/>
      <c r="K327" s="7" t="str">
        <f t="shared" si="9"/>
        <v>Meter6</v>
      </c>
      <c r="L327" s="7" t="str">
        <f t="shared" si="10"/>
        <v>kwh</v>
      </c>
    </row>
    <row r="328" spans="1:12" x14ac:dyDescent="0.25">
      <c r="A328" s="2">
        <v>319</v>
      </c>
      <c r="B328" s="3" t="s">
        <v>644</v>
      </c>
      <c r="C328" s="2" t="s">
        <v>645</v>
      </c>
      <c r="D328" s="2" t="s">
        <v>35</v>
      </c>
      <c r="E328" s="3" t="s">
        <v>1341</v>
      </c>
      <c r="G328" s="18"/>
      <c r="K328" s="7" t="str">
        <f t="shared" si="9"/>
        <v>Meter6</v>
      </c>
      <c r="L328" s="7" t="str">
        <f t="shared" si="10"/>
        <v>kvah</v>
      </c>
    </row>
    <row r="329" spans="1:12" x14ac:dyDescent="0.25">
      <c r="A329" s="2">
        <v>320</v>
      </c>
      <c r="B329" s="3" t="s">
        <v>646</v>
      </c>
      <c r="C329" s="2" t="s">
        <v>647</v>
      </c>
      <c r="D329" s="2" t="s">
        <v>35</v>
      </c>
      <c r="E329" s="3" t="s">
        <v>1342</v>
      </c>
      <c r="G329" s="18"/>
      <c r="K329" s="7" t="str">
        <f t="shared" si="9"/>
        <v>Meter6</v>
      </c>
      <c r="L329" s="7" t="str">
        <f t="shared" si="10"/>
        <v>kvarh</v>
      </c>
    </row>
    <row r="330" spans="1:12" x14ac:dyDescent="0.25">
      <c r="A330" s="2">
        <v>321</v>
      </c>
      <c r="B330" s="3" t="s">
        <v>648</v>
      </c>
      <c r="C330" s="2" t="s">
        <v>649</v>
      </c>
      <c r="D330" s="2" t="s">
        <v>7</v>
      </c>
      <c r="E330" s="3" t="s">
        <v>1343</v>
      </c>
      <c r="G330" s="18"/>
      <c r="K330" s="7" t="str">
        <f t="shared" si="9"/>
        <v>Pump6</v>
      </c>
      <c r="L330" s="7" t="str">
        <f t="shared" si="10"/>
        <v>Ctrl_run_Pump</v>
      </c>
    </row>
    <row r="331" spans="1:12" x14ac:dyDescent="0.25">
      <c r="A331" s="2">
        <v>322</v>
      </c>
      <c r="B331" s="3" t="s">
        <v>650</v>
      </c>
      <c r="C331" s="2" t="s">
        <v>651</v>
      </c>
      <c r="D331" s="2" t="s">
        <v>7</v>
      </c>
      <c r="E331" s="3" t="s">
        <v>1354</v>
      </c>
      <c r="G331" s="18"/>
      <c r="H331" t="s">
        <v>1496</v>
      </c>
      <c r="K331" s="7" t="str">
        <f t="shared" ref="K331:K395" si="11">LEFT(B331, SEARCH("_",B331 ) - 1)</f>
        <v>Pump6</v>
      </c>
      <c r="L331" s="7" t="str">
        <f t="shared" si="10"/>
        <v>FB_Fault</v>
      </c>
    </row>
    <row r="332" spans="1:12" x14ac:dyDescent="0.25">
      <c r="A332" s="2">
        <v>323</v>
      </c>
      <c r="B332" s="3" t="s">
        <v>652</v>
      </c>
      <c r="C332" s="2" t="s">
        <v>653</v>
      </c>
      <c r="D332" s="2" t="s">
        <v>7</v>
      </c>
      <c r="E332" s="3" t="s">
        <v>1344</v>
      </c>
      <c r="G332" s="18"/>
      <c r="K332" s="7" t="str">
        <f t="shared" si="11"/>
        <v>Pump6</v>
      </c>
      <c r="L332" s="7" t="str">
        <f t="shared" si="10"/>
        <v>Ctrl_PB_Run</v>
      </c>
    </row>
    <row r="333" spans="1:12" x14ac:dyDescent="0.25">
      <c r="A333" s="2">
        <v>324</v>
      </c>
      <c r="B333" s="3" t="s">
        <v>654</v>
      </c>
      <c r="C333" s="2" t="s">
        <v>655</v>
      </c>
      <c r="D333" s="2" t="s">
        <v>7</v>
      </c>
      <c r="E333" s="3" t="s">
        <v>1345</v>
      </c>
      <c r="G333" s="18"/>
      <c r="K333" s="7" t="str">
        <f t="shared" si="11"/>
        <v>Pump6</v>
      </c>
      <c r="L333" s="7" t="str">
        <f t="shared" si="10"/>
        <v>Ctrl_PB_Stop</v>
      </c>
    </row>
    <row r="334" spans="1:12" x14ac:dyDescent="0.25">
      <c r="A334" s="2">
        <v>325</v>
      </c>
      <c r="B334" s="3" t="s">
        <v>656</v>
      </c>
      <c r="C334" s="2" t="s">
        <v>657</v>
      </c>
      <c r="D334" s="2" t="s">
        <v>7</v>
      </c>
      <c r="E334" s="3" t="s">
        <v>1346</v>
      </c>
      <c r="G334" s="18"/>
      <c r="K334" s="7" t="str">
        <f t="shared" si="11"/>
        <v>Pump6</v>
      </c>
      <c r="L334" s="7" t="str">
        <f t="shared" si="10"/>
        <v>Ctrl_PB_RST</v>
      </c>
    </row>
    <row r="335" spans="1:12" x14ac:dyDescent="0.25">
      <c r="A335" s="2">
        <v>326</v>
      </c>
      <c r="B335" s="3" t="s">
        <v>658</v>
      </c>
      <c r="C335" s="2" t="s">
        <v>659</v>
      </c>
      <c r="D335" s="2" t="s">
        <v>24</v>
      </c>
      <c r="E335" s="3" t="s">
        <v>1347</v>
      </c>
      <c r="G335" s="18"/>
      <c r="K335" s="7" t="str">
        <f t="shared" si="11"/>
        <v>Pump6</v>
      </c>
      <c r="L335" s="7" t="str">
        <f t="shared" si="10"/>
        <v>Time_Run_M</v>
      </c>
    </row>
    <row r="336" spans="1:12" x14ac:dyDescent="0.25">
      <c r="A336" s="2">
        <v>327</v>
      </c>
      <c r="B336" s="3" t="s">
        <v>660</v>
      </c>
      <c r="C336" s="2" t="s">
        <v>661</v>
      </c>
      <c r="D336" s="2" t="s">
        <v>24</v>
      </c>
      <c r="E336" s="3" t="s">
        <v>1348</v>
      </c>
      <c r="G336" s="18"/>
      <c r="K336" s="7" t="str">
        <f t="shared" si="11"/>
        <v>Pump6</v>
      </c>
      <c r="L336" s="7" t="str">
        <f t="shared" ref="L336:L400" si="12">RIGHT(B336, LEN(B336)-SEARCH("_",B336 ))</f>
        <v>Time_Run_H</v>
      </c>
    </row>
    <row r="337" spans="1:12" x14ac:dyDescent="0.25">
      <c r="A337" s="2">
        <v>328</v>
      </c>
      <c r="B337" s="3" t="s">
        <v>662</v>
      </c>
      <c r="C337" s="2" t="s">
        <v>663</v>
      </c>
      <c r="D337" s="2" t="s">
        <v>24</v>
      </c>
      <c r="E337" s="3" t="s">
        <v>1349</v>
      </c>
      <c r="G337" s="18"/>
      <c r="K337" s="7" t="str">
        <f t="shared" si="11"/>
        <v>Pump6</v>
      </c>
      <c r="L337" s="7" t="str">
        <f t="shared" si="12"/>
        <v>Total_Time_Run_M</v>
      </c>
    </row>
    <row r="338" spans="1:12" x14ac:dyDescent="0.25">
      <c r="A338" s="2">
        <v>329</v>
      </c>
      <c r="B338" s="3" t="s">
        <v>664</v>
      </c>
      <c r="C338" s="2" t="s">
        <v>665</v>
      </c>
      <c r="D338" s="2" t="s">
        <v>24</v>
      </c>
      <c r="E338" s="3" t="s">
        <v>1350</v>
      </c>
      <c r="G338" s="18"/>
      <c r="H338" t="s">
        <v>1407</v>
      </c>
      <c r="K338" s="7" t="str">
        <f t="shared" si="11"/>
        <v>Pump6</v>
      </c>
      <c r="L338" s="7" t="str">
        <f t="shared" si="12"/>
        <v>Total_Time_Run_H</v>
      </c>
    </row>
    <row r="339" spans="1:12" x14ac:dyDescent="0.25">
      <c r="A339" s="2">
        <v>330</v>
      </c>
      <c r="B339" s="3" t="s">
        <v>666</v>
      </c>
      <c r="C339" s="2" t="s">
        <v>667</v>
      </c>
      <c r="D339" s="2" t="s">
        <v>24</v>
      </c>
      <c r="E339" s="3" t="s">
        <v>1351</v>
      </c>
      <c r="G339" s="18"/>
      <c r="K339" s="7" t="str">
        <f t="shared" si="11"/>
        <v>Pump6</v>
      </c>
      <c r="L339" s="7" t="str">
        <f t="shared" si="12"/>
        <v>NumberOfclose</v>
      </c>
    </row>
    <row r="340" spans="1:12" x14ac:dyDescent="0.25">
      <c r="A340" s="2">
        <v>331</v>
      </c>
      <c r="B340" s="3" t="s">
        <v>668</v>
      </c>
      <c r="C340" s="2" t="s">
        <v>669</v>
      </c>
      <c r="D340" s="2" t="s">
        <v>7</v>
      </c>
      <c r="E340" s="3" t="s">
        <v>1355</v>
      </c>
      <c r="G340" s="18" t="s">
        <v>1501</v>
      </c>
      <c r="K340" s="7" t="str">
        <f t="shared" si="11"/>
        <v>Pump7</v>
      </c>
      <c r="L340" s="7" t="str">
        <f t="shared" si="12"/>
        <v>FB_auto</v>
      </c>
    </row>
    <row r="341" spans="1:12" x14ac:dyDescent="0.25">
      <c r="A341" s="2">
        <v>332</v>
      </c>
      <c r="B341" s="3" t="s">
        <v>670</v>
      </c>
      <c r="C341" s="2" t="s">
        <v>671</v>
      </c>
      <c r="D341" s="2" t="s">
        <v>7</v>
      </c>
      <c r="E341" s="3" t="s">
        <v>1306</v>
      </c>
      <c r="G341" s="18"/>
      <c r="H341" t="s">
        <v>1505</v>
      </c>
      <c r="K341" s="7" t="str">
        <f t="shared" si="11"/>
        <v>Pump7</v>
      </c>
      <c r="L341" s="7" t="str">
        <f t="shared" si="12"/>
        <v>FB_Run</v>
      </c>
    </row>
    <row r="342" spans="1:12" x14ac:dyDescent="0.25">
      <c r="A342" s="2">
        <v>333</v>
      </c>
      <c r="B342" s="3" t="s">
        <v>672</v>
      </c>
      <c r="C342" s="2" t="s">
        <v>673</v>
      </c>
      <c r="D342" s="2" t="s">
        <v>7</v>
      </c>
      <c r="E342" s="3" t="s">
        <v>1307</v>
      </c>
      <c r="G342" s="18"/>
      <c r="K342" s="7" t="str">
        <f t="shared" si="11"/>
        <v>Pump7</v>
      </c>
      <c r="L342" s="7" t="str">
        <f t="shared" si="12"/>
        <v>FB_Fault_V</v>
      </c>
    </row>
    <row r="343" spans="1:12" x14ac:dyDescent="0.25">
      <c r="A343" s="2">
        <v>334</v>
      </c>
      <c r="B343" s="3" t="s">
        <v>674</v>
      </c>
      <c r="C343" s="2" t="s">
        <v>675</v>
      </c>
      <c r="D343" s="2" t="s">
        <v>7</v>
      </c>
      <c r="E343" s="3" t="s">
        <v>1307</v>
      </c>
      <c r="G343" s="18"/>
      <c r="K343" s="7" t="str">
        <f t="shared" si="11"/>
        <v>Pump7</v>
      </c>
      <c r="L343" s="7" t="str">
        <f t="shared" si="12"/>
        <v>FB_Fault_SS</v>
      </c>
    </row>
    <row r="344" spans="1:12" x14ac:dyDescent="0.25">
      <c r="A344" s="2">
        <v>335</v>
      </c>
      <c r="B344" s="3" t="s">
        <v>676</v>
      </c>
      <c r="C344" s="2" t="s">
        <v>677</v>
      </c>
      <c r="D344" s="2" t="s">
        <v>7</v>
      </c>
      <c r="E344" s="3" t="s">
        <v>1356</v>
      </c>
      <c r="G344" s="18"/>
      <c r="K344" s="7" t="str">
        <f t="shared" si="11"/>
        <v>Pump7</v>
      </c>
      <c r="L344" s="7" t="str">
        <f t="shared" si="12"/>
        <v>FB_Fault_Temp</v>
      </c>
    </row>
    <row r="345" spans="1:12" x14ac:dyDescent="0.25">
      <c r="A345" s="2">
        <v>336</v>
      </c>
      <c r="B345" s="3" t="s">
        <v>678</v>
      </c>
      <c r="C345" s="2" t="s">
        <v>679</v>
      </c>
      <c r="D345" s="2" t="s">
        <v>7</v>
      </c>
      <c r="E345" s="3" t="s">
        <v>1307</v>
      </c>
      <c r="G345" s="18"/>
      <c r="K345" s="7" t="str">
        <f t="shared" si="11"/>
        <v>Pump7</v>
      </c>
      <c r="L345" s="7" t="str">
        <f t="shared" si="12"/>
        <v>FB_Fault_Curent</v>
      </c>
    </row>
    <row r="346" spans="1:12" x14ac:dyDescent="0.25">
      <c r="A346" s="2">
        <v>337</v>
      </c>
      <c r="B346" s="3" t="s">
        <v>680</v>
      </c>
      <c r="C346" s="2" t="s">
        <v>681</v>
      </c>
      <c r="D346" s="2" t="s">
        <v>7</v>
      </c>
      <c r="E346" s="3" t="s">
        <v>1357</v>
      </c>
      <c r="G346" s="18"/>
      <c r="K346" s="7" t="str">
        <f t="shared" si="11"/>
        <v>Pump7</v>
      </c>
      <c r="L346" s="7" t="str">
        <f t="shared" si="12"/>
        <v>Clock_1m</v>
      </c>
    </row>
    <row r="347" spans="1:12" x14ac:dyDescent="0.25">
      <c r="A347" s="2">
        <v>338</v>
      </c>
      <c r="B347" s="3" t="s">
        <v>682</v>
      </c>
      <c r="C347" s="2" t="s">
        <v>683</v>
      </c>
      <c r="D347" s="2" t="s">
        <v>7</v>
      </c>
      <c r="E347" s="3" t="s">
        <v>1358</v>
      </c>
      <c r="G347" s="18"/>
      <c r="H347" t="s">
        <v>1495</v>
      </c>
      <c r="K347" s="7" t="str">
        <f t="shared" si="11"/>
        <v>Pump7</v>
      </c>
      <c r="L347" s="7" t="str">
        <f t="shared" si="12"/>
        <v>FB_stop</v>
      </c>
    </row>
    <row r="348" spans="1:12" x14ac:dyDescent="0.25">
      <c r="A348" s="2">
        <v>8</v>
      </c>
      <c r="B348" s="12" t="s">
        <v>1439</v>
      </c>
      <c r="C348" s="2" t="s">
        <v>21</v>
      </c>
      <c r="D348" s="2" t="s">
        <v>7</v>
      </c>
      <c r="E348" s="3" t="s">
        <v>1393</v>
      </c>
      <c r="G348" s="18"/>
      <c r="H348" t="s">
        <v>1494</v>
      </c>
      <c r="K348" s="7" t="str">
        <f t="shared" si="11"/>
        <v>Pump7</v>
      </c>
      <c r="L348" s="7" t="str">
        <f t="shared" si="12"/>
        <v>FB_maintenance</v>
      </c>
    </row>
    <row r="349" spans="1:12" x14ac:dyDescent="0.25">
      <c r="A349" s="2">
        <v>339</v>
      </c>
      <c r="B349" s="3" t="s">
        <v>684</v>
      </c>
      <c r="C349" s="2" t="s">
        <v>685</v>
      </c>
      <c r="D349" s="2" t="s">
        <v>24</v>
      </c>
      <c r="E349" s="3" t="s">
        <v>1352</v>
      </c>
      <c r="G349" s="18"/>
      <c r="K349" s="7" t="str">
        <f t="shared" si="11"/>
        <v>Pump7</v>
      </c>
      <c r="L349" s="7" t="str">
        <f t="shared" si="12"/>
        <v>FB_Temp_DEBearing</v>
      </c>
    </row>
    <row r="350" spans="1:12" x14ac:dyDescent="0.25">
      <c r="A350" s="2">
        <v>340</v>
      </c>
      <c r="B350" s="3" t="s">
        <v>686</v>
      </c>
      <c r="C350" s="2" t="s">
        <v>687</v>
      </c>
      <c r="D350" s="2" t="s">
        <v>24</v>
      </c>
      <c r="E350" s="3" t="s">
        <v>1353</v>
      </c>
      <c r="G350" s="18"/>
      <c r="K350" s="7" t="str">
        <f t="shared" si="11"/>
        <v>Pump7</v>
      </c>
      <c r="L350" s="7" t="str">
        <f t="shared" si="12"/>
        <v>FB_Temp_NDEBearing</v>
      </c>
    </row>
    <row r="351" spans="1:12" x14ac:dyDescent="0.25">
      <c r="A351" s="2">
        <v>341</v>
      </c>
      <c r="B351" s="3" t="s">
        <v>688</v>
      </c>
      <c r="C351" s="2" t="s">
        <v>689</v>
      </c>
      <c r="D351" s="2" t="s">
        <v>24</v>
      </c>
      <c r="E351" s="3" t="s">
        <v>1308</v>
      </c>
      <c r="G351" s="18"/>
      <c r="K351" s="7" t="str">
        <f t="shared" si="11"/>
        <v>Pump7</v>
      </c>
      <c r="L351" s="7" t="str">
        <f t="shared" si="12"/>
        <v>FB_Temp_PhaseA</v>
      </c>
    </row>
    <row r="352" spans="1:12" x14ac:dyDescent="0.25">
      <c r="A352" s="2">
        <v>342</v>
      </c>
      <c r="B352" s="3" t="s">
        <v>690</v>
      </c>
      <c r="C352" s="2" t="s">
        <v>691</v>
      </c>
      <c r="D352" s="2" t="s">
        <v>24</v>
      </c>
      <c r="E352" s="3" t="s">
        <v>1309</v>
      </c>
      <c r="G352" s="18"/>
      <c r="K352" s="7" t="str">
        <f t="shared" si="11"/>
        <v>Pump7</v>
      </c>
      <c r="L352" s="7" t="str">
        <f t="shared" si="12"/>
        <v>FB_Temp_PhaseB</v>
      </c>
    </row>
    <row r="353" spans="1:12" x14ac:dyDescent="0.25">
      <c r="A353" s="2">
        <v>343</v>
      </c>
      <c r="B353" s="3" t="s">
        <v>692</v>
      </c>
      <c r="C353" s="2" t="s">
        <v>693</v>
      </c>
      <c r="D353" s="2" t="s">
        <v>24</v>
      </c>
      <c r="E353" s="3" t="s">
        <v>1310</v>
      </c>
      <c r="G353" s="18"/>
      <c r="K353" s="7" t="str">
        <f t="shared" si="11"/>
        <v>Pump7</v>
      </c>
      <c r="L353" s="7" t="str">
        <f t="shared" si="12"/>
        <v>FB_Temp_PhaseC</v>
      </c>
    </row>
    <row r="354" spans="1:12" x14ac:dyDescent="0.25">
      <c r="A354" s="2">
        <v>344</v>
      </c>
      <c r="B354" s="3" t="s">
        <v>694</v>
      </c>
      <c r="C354" s="2" t="s">
        <v>695</v>
      </c>
      <c r="D354" s="2" t="s">
        <v>35</v>
      </c>
      <c r="E354" s="3" t="s">
        <v>1315</v>
      </c>
      <c r="G354" s="18"/>
      <c r="K354" s="7" t="str">
        <f t="shared" si="11"/>
        <v>Meter7</v>
      </c>
      <c r="L354" s="7" t="str">
        <f t="shared" si="12"/>
        <v>U1</v>
      </c>
    </row>
    <row r="355" spans="1:12" x14ac:dyDescent="0.25">
      <c r="A355" s="2">
        <v>345</v>
      </c>
      <c r="B355" s="3" t="s">
        <v>696</v>
      </c>
      <c r="C355" s="2" t="s">
        <v>697</v>
      </c>
      <c r="D355" s="2" t="s">
        <v>35</v>
      </c>
      <c r="E355" s="3" t="s">
        <v>1316</v>
      </c>
      <c r="G355" s="18"/>
      <c r="K355" s="7" t="str">
        <f t="shared" si="11"/>
        <v>Meter7</v>
      </c>
      <c r="L355" s="7" t="str">
        <f t="shared" si="12"/>
        <v>U2</v>
      </c>
    </row>
    <row r="356" spans="1:12" x14ac:dyDescent="0.25">
      <c r="A356" s="2">
        <v>346</v>
      </c>
      <c r="B356" s="3" t="s">
        <v>698</v>
      </c>
      <c r="C356" s="2" t="s">
        <v>699</v>
      </c>
      <c r="D356" s="2" t="s">
        <v>35</v>
      </c>
      <c r="E356" s="3" t="s">
        <v>1317</v>
      </c>
      <c r="G356" s="18"/>
      <c r="K356" s="7" t="str">
        <f t="shared" si="11"/>
        <v>Meter7</v>
      </c>
      <c r="L356" s="7" t="str">
        <f t="shared" si="12"/>
        <v>U3</v>
      </c>
    </row>
    <row r="357" spans="1:12" x14ac:dyDescent="0.25">
      <c r="A357" s="2">
        <v>347</v>
      </c>
      <c r="B357" s="3" t="s">
        <v>700</v>
      </c>
      <c r="C357" s="2" t="s">
        <v>701</v>
      </c>
      <c r="D357" s="2" t="s">
        <v>35</v>
      </c>
      <c r="E357" s="3" t="s">
        <v>1318</v>
      </c>
      <c r="G357" s="18"/>
      <c r="K357" s="7" t="str">
        <f t="shared" si="11"/>
        <v>Meter7</v>
      </c>
      <c r="L357" s="7" t="str">
        <f t="shared" si="12"/>
        <v>U_Ph</v>
      </c>
    </row>
    <row r="358" spans="1:12" x14ac:dyDescent="0.25">
      <c r="A358" s="2">
        <v>348</v>
      </c>
      <c r="B358" s="3" t="s">
        <v>702</v>
      </c>
      <c r="C358" s="2" t="s">
        <v>703</v>
      </c>
      <c r="D358" s="2" t="s">
        <v>35</v>
      </c>
      <c r="E358" s="3" t="s">
        <v>1319</v>
      </c>
      <c r="G358" s="18"/>
      <c r="K358" s="7" t="str">
        <f t="shared" si="11"/>
        <v>Meter7</v>
      </c>
      <c r="L358" s="7" t="str">
        <f t="shared" si="12"/>
        <v>U12</v>
      </c>
    </row>
    <row r="359" spans="1:12" x14ac:dyDescent="0.25">
      <c r="A359" s="2">
        <v>349</v>
      </c>
      <c r="B359" s="3" t="s">
        <v>704</v>
      </c>
      <c r="C359" s="2" t="s">
        <v>705</v>
      </c>
      <c r="D359" s="2" t="s">
        <v>35</v>
      </c>
      <c r="E359" s="3" t="s">
        <v>1320</v>
      </c>
      <c r="G359" s="18"/>
      <c r="K359" s="7" t="str">
        <f t="shared" si="11"/>
        <v>Meter7</v>
      </c>
      <c r="L359" s="7" t="str">
        <f t="shared" si="12"/>
        <v>U23</v>
      </c>
    </row>
    <row r="360" spans="1:12" x14ac:dyDescent="0.25">
      <c r="A360" s="2">
        <v>350</v>
      </c>
      <c r="B360" s="3" t="s">
        <v>706</v>
      </c>
      <c r="C360" s="2" t="s">
        <v>707</v>
      </c>
      <c r="D360" s="2" t="s">
        <v>35</v>
      </c>
      <c r="E360" s="3" t="s">
        <v>1321</v>
      </c>
      <c r="G360" s="18"/>
      <c r="K360" s="7" t="str">
        <f t="shared" si="11"/>
        <v>Meter7</v>
      </c>
      <c r="L360" s="7" t="str">
        <f t="shared" si="12"/>
        <v>U31</v>
      </c>
    </row>
    <row r="361" spans="1:12" x14ac:dyDescent="0.25">
      <c r="A361" s="2">
        <v>351</v>
      </c>
      <c r="B361" s="3" t="s">
        <v>708</v>
      </c>
      <c r="C361" s="2" t="s">
        <v>709</v>
      </c>
      <c r="D361" s="2" t="s">
        <v>35</v>
      </c>
      <c r="E361" s="3" t="s">
        <v>1322</v>
      </c>
      <c r="G361" s="18"/>
      <c r="K361" s="7" t="str">
        <f t="shared" si="11"/>
        <v>Meter7</v>
      </c>
      <c r="L361" s="7" t="str">
        <f t="shared" si="12"/>
        <v>Uline</v>
      </c>
    </row>
    <row r="362" spans="1:12" x14ac:dyDescent="0.25">
      <c r="A362" s="2">
        <v>352</v>
      </c>
      <c r="B362" s="3" t="s">
        <v>710</v>
      </c>
      <c r="C362" s="2" t="s">
        <v>711</v>
      </c>
      <c r="D362" s="2" t="s">
        <v>35</v>
      </c>
      <c r="E362" s="3" t="s">
        <v>1312</v>
      </c>
      <c r="G362" s="18"/>
      <c r="H362" s="7"/>
      <c r="K362" s="7" t="str">
        <f t="shared" si="11"/>
        <v>Meter7</v>
      </c>
      <c r="L362" s="7" t="str">
        <f t="shared" si="12"/>
        <v>I1</v>
      </c>
    </row>
    <row r="363" spans="1:12" x14ac:dyDescent="0.25">
      <c r="A363" s="2">
        <v>353</v>
      </c>
      <c r="B363" s="3" t="s">
        <v>712</v>
      </c>
      <c r="C363" s="2" t="s">
        <v>713</v>
      </c>
      <c r="D363" s="2" t="s">
        <v>35</v>
      </c>
      <c r="E363" s="3" t="s">
        <v>1313</v>
      </c>
      <c r="G363" s="18"/>
      <c r="H363" s="7"/>
      <c r="K363" s="7" t="str">
        <f t="shared" si="11"/>
        <v>Meter7</v>
      </c>
      <c r="L363" s="7" t="str">
        <f t="shared" si="12"/>
        <v>I2</v>
      </c>
    </row>
    <row r="364" spans="1:12" x14ac:dyDescent="0.25">
      <c r="A364" s="2">
        <v>354</v>
      </c>
      <c r="B364" s="3" t="s">
        <v>714</v>
      </c>
      <c r="C364" s="2" t="s">
        <v>715</v>
      </c>
      <c r="D364" s="2" t="s">
        <v>35</v>
      </c>
      <c r="E364" s="3" t="s">
        <v>1314</v>
      </c>
      <c r="G364" s="18"/>
      <c r="H364" s="7"/>
      <c r="K364" s="7" t="str">
        <f t="shared" si="11"/>
        <v>Meter7</v>
      </c>
      <c r="L364" s="7" t="str">
        <f t="shared" si="12"/>
        <v>I3</v>
      </c>
    </row>
    <row r="365" spans="1:12" x14ac:dyDescent="0.25">
      <c r="A365" s="2">
        <v>355</v>
      </c>
      <c r="B365" s="3" t="s">
        <v>716</v>
      </c>
      <c r="C365" s="2" t="s">
        <v>717</v>
      </c>
      <c r="D365" s="2" t="s">
        <v>35</v>
      </c>
      <c r="E365" s="3" t="s">
        <v>1311</v>
      </c>
      <c r="G365" s="18"/>
      <c r="H365" s="3" t="s">
        <v>1311</v>
      </c>
      <c r="K365" s="7" t="str">
        <f t="shared" si="11"/>
        <v>Meter7</v>
      </c>
      <c r="L365" s="7" t="str">
        <f t="shared" si="12"/>
        <v>I_ph</v>
      </c>
    </row>
    <row r="366" spans="1:12" x14ac:dyDescent="0.25">
      <c r="A366" s="2">
        <v>356</v>
      </c>
      <c r="B366" s="3" t="s">
        <v>718</v>
      </c>
      <c r="C366" s="2" t="s">
        <v>719</v>
      </c>
      <c r="D366" s="2" t="s">
        <v>35</v>
      </c>
      <c r="E366" s="3" t="s">
        <v>1323</v>
      </c>
      <c r="G366" s="18"/>
      <c r="K366" s="7" t="str">
        <f t="shared" si="11"/>
        <v>Meter7</v>
      </c>
      <c r="L366" s="7" t="str">
        <f t="shared" si="12"/>
        <v>kw1</v>
      </c>
    </row>
    <row r="367" spans="1:12" x14ac:dyDescent="0.25">
      <c r="A367" s="2">
        <v>357</v>
      </c>
      <c r="B367" s="3" t="s">
        <v>720</v>
      </c>
      <c r="C367" s="2" t="s">
        <v>721</v>
      </c>
      <c r="D367" s="2" t="s">
        <v>35</v>
      </c>
      <c r="E367" s="3" t="s">
        <v>1324</v>
      </c>
      <c r="G367" s="18"/>
      <c r="K367" s="7" t="str">
        <f t="shared" si="11"/>
        <v>Meter7</v>
      </c>
      <c r="L367" s="7" t="str">
        <f t="shared" si="12"/>
        <v>kw2</v>
      </c>
    </row>
    <row r="368" spans="1:12" x14ac:dyDescent="0.25">
      <c r="A368" s="2">
        <v>358</v>
      </c>
      <c r="B368" s="3" t="s">
        <v>722</v>
      </c>
      <c r="C368" s="2" t="s">
        <v>723</v>
      </c>
      <c r="D368" s="2" t="s">
        <v>35</v>
      </c>
      <c r="E368" s="3" t="s">
        <v>1325</v>
      </c>
      <c r="G368" s="18"/>
      <c r="K368" s="7" t="str">
        <f t="shared" si="11"/>
        <v>Meter7</v>
      </c>
      <c r="L368" s="7" t="str">
        <f t="shared" si="12"/>
        <v>kw3</v>
      </c>
    </row>
    <row r="369" spans="1:12" x14ac:dyDescent="0.25">
      <c r="A369" s="2">
        <v>359</v>
      </c>
      <c r="B369" s="3" t="s">
        <v>724</v>
      </c>
      <c r="C369" s="2" t="s">
        <v>725</v>
      </c>
      <c r="D369" s="2" t="s">
        <v>35</v>
      </c>
      <c r="E369" s="3" t="s">
        <v>1326</v>
      </c>
      <c r="G369" s="18"/>
      <c r="K369" s="7" t="str">
        <f t="shared" si="11"/>
        <v>Meter7</v>
      </c>
      <c r="L369" s="7" t="str">
        <f t="shared" si="12"/>
        <v>kva1</v>
      </c>
    </row>
    <row r="370" spans="1:12" x14ac:dyDescent="0.25">
      <c r="A370" s="2">
        <v>360</v>
      </c>
      <c r="B370" s="3" t="s">
        <v>726</v>
      </c>
      <c r="C370" s="2" t="s">
        <v>727</v>
      </c>
      <c r="D370" s="2" t="s">
        <v>35</v>
      </c>
      <c r="E370" s="3" t="s">
        <v>1327</v>
      </c>
      <c r="G370" s="18"/>
      <c r="K370" s="7" t="str">
        <f t="shared" si="11"/>
        <v>Meter7</v>
      </c>
      <c r="L370" s="7" t="str">
        <f t="shared" si="12"/>
        <v>kva2</v>
      </c>
    </row>
    <row r="371" spans="1:12" x14ac:dyDescent="0.25">
      <c r="A371" s="2">
        <v>361</v>
      </c>
      <c r="B371" s="3" t="s">
        <v>728</v>
      </c>
      <c r="C371" s="2" t="s">
        <v>729</v>
      </c>
      <c r="D371" s="2" t="s">
        <v>35</v>
      </c>
      <c r="E371" s="3" t="s">
        <v>1328</v>
      </c>
      <c r="G371" s="18"/>
      <c r="K371" s="7" t="str">
        <f t="shared" si="11"/>
        <v>Meter7</v>
      </c>
      <c r="L371" s="7" t="str">
        <f t="shared" si="12"/>
        <v>kva3</v>
      </c>
    </row>
    <row r="372" spans="1:12" x14ac:dyDescent="0.25">
      <c r="A372" s="2">
        <v>362</v>
      </c>
      <c r="B372" s="3" t="s">
        <v>730</v>
      </c>
      <c r="C372" s="2" t="s">
        <v>731</v>
      </c>
      <c r="D372" s="2" t="s">
        <v>35</v>
      </c>
      <c r="E372" s="3" t="s">
        <v>1329</v>
      </c>
      <c r="G372" s="18"/>
      <c r="K372" s="7" t="str">
        <f t="shared" si="11"/>
        <v>Meter7</v>
      </c>
      <c r="L372" s="7" t="str">
        <f t="shared" si="12"/>
        <v>kvar1</v>
      </c>
    </row>
    <row r="373" spans="1:12" x14ac:dyDescent="0.25">
      <c r="A373" s="2">
        <v>363</v>
      </c>
      <c r="B373" s="3" t="s">
        <v>732</v>
      </c>
      <c r="C373" s="2" t="s">
        <v>733</v>
      </c>
      <c r="D373" s="2" t="s">
        <v>35</v>
      </c>
      <c r="E373" s="3" t="s">
        <v>1330</v>
      </c>
      <c r="G373" s="18"/>
      <c r="K373" s="7" t="str">
        <f t="shared" si="11"/>
        <v>Meter7</v>
      </c>
      <c r="L373" s="7" t="str">
        <f t="shared" si="12"/>
        <v>kvar2</v>
      </c>
    </row>
    <row r="374" spans="1:12" x14ac:dyDescent="0.25">
      <c r="A374" s="2">
        <v>364</v>
      </c>
      <c r="B374" s="3" t="s">
        <v>734</v>
      </c>
      <c r="C374" s="2" t="s">
        <v>735</v>
      </c>
      <c r="D374" s="2" t="s">
        <v>35</v>
      </c>
      <c r="E374" s="3" t="s">
        <v>1331</v>
      </c>
      <c r="G374" s="18"/>
      <c r="K374" s="7" t="str">
        <f t="shared" si="11"/>
        <v>Meter7</v>
      </c>
      <c r="L374" s="7" t="str">
        <f t="shared" si="12"/>
        <v>kvar3</v>
      </c>
    </row>
    <row r="375" spans="1:12" x14ac:dyDescent="0.25">
      <c r="A375" s="2">
        <v>365</v>
      </c>
      <c r="B375" s="3" t="s">
        <v>736</v>
      </c>
      <c r="C375" s="2" t="s">
        <v>737</v>
      </c>
      <c r="D375" s="2" t="s">
        <v>35</v>
      </c>
      <c r="E375" s="3" t="s">
        <v>1332</v>
      </c>
      <c r="G375" s="18"/>
      <c r="K375" s="7" t="str">
        <f t="shared" si="11"/>
        <v>Meter7</v>
      </c>
      <c r="L375" s="7" t="str">
        <f t="shared" si="12"/>
        <v>total_kw</v>
      </c>
    </row>
    <row r="376" spans="1:12" x14ac:dyDescent="0.25">
      <c r="A376" s="2">
        <v>366</v>
      </c>
      <c r="B376" s="3" t="s">
        <v>738</v>
      </c>
      <c r="C376" s="2" t="s">
        <v>739</v>
      </c>
      <c r="D376" s="2" t="s">
        <v>35</v>
      </c>
      <c r="E376" s="3" t="s">
        <v>1333</v>
      </c>
      <c r="G376" s="18"/>
      <c r="K376" s="7" t="str">
        <f t="shared" si="11"/>
        <v>Meter7</v>
      </c>
      <c r="L376" s="7" t="str">
        <f t="shared" si="12"/>
        <v>total_kva</v>
      </c>
    </row>
    <row r="377" spans="1:12" x14ac:dyDescent="0.25">
      <c r="A377" s="2">
        <v>367</v>
      </c>
      <c r="B377" s="3" t="s">
        <v>740</v>
      </c>
      <c r="C377" s="2" t="s">
        <v>741</v>
      </c>
      <c r="D377" s="2" t="s">
        <v>35</v>
      </c>
      <c r="E377" s="3" t="s">
        <v>1334</v>
      </c>
      <c r="G377" s="18"/>
      <c r="K377" s="7" t="str">
        <f t="shared" si="11"/>
        <v>Meter7</v>
      </c>
      <c r="L377" s="7" t="str">
        <f t="shared" si="12"/>
        <v>total_kvar</v>
      </c>
    </row>
    <row r="378" spans="1:12" x14ac:dyDescent="0.25">
      <c r="A378" s="2">
        <v>368</v>
      </c>
      <c r="B378" s="3" t="s">
        <v>742</v>
      </c>
      <c r="C378" s="2" t="s">
        <v>743</v>
      </c>
      <c r="D378" s="2" t="s">
        <v>35</v>
      </c>
      <c r="E378" s="3" t="s">
        <v>1335</v>
      </c>
      <c r="G378" s="18"/>
      <c r="K378" s="7" t="str">
        <f t="shared" si="11"/>
        <v>Meter7</v>
      </c>
      <c r="L378" s="7" t="str">
        <f t="shared" si="12"/>
        <v>PF1</v>
      </c>
    </row>
    <row r="379" spans="1:12" x14ac:dyDescent="0.25">
      <c r="A379" s="2">
        <v>369</v>
      </c>
      <c r="B379" s="3" t="s">
        <v>744</v>
      </c>
      <c r="C379" s="2" t="s">
        <v>745</v>
      </c>
      <c r="D379" s="2" t="s">
        <v>35</v>
      </c>
      <c r="E379" s="3" t="s">
        <v>1336</v>
      </c>
      <c r="G379" s="18"/>
      <c r="K379" s="7" t="str">
        <f t="shared" si="11"/>
        <v>Meter7</v>
      </c>
      <c r="L379" s="7" t="str">
        <f t="shared" si="12"/>
        <v>PF2</v>
      </c>
    </row>
    <row r="380" spans="1:12" x14ac:dyDescent="0.25">
      <c r="A380" s="2">
        <v>370</v>
      </c>
      <c r="B380" s="3" t="s">
        <v>746</v>
      </c>
      <c r="C380" s="2" t="s">
        <v>747</v>
      </c>
      <c r="D380" s="2" t="s">
        <v>35</v>
      </c>
      <c r="E380" s="3" t="s">
        <v>1337</v>
      </c>
      <c r="G380" s="18"/>
      <c r="K380" s="7" t="str">
        <f t="shared" si="11"/>
        <v>Meter7</v>
      </c>
      <c r="L380" s="7" t="str">
        <f t="shared" si="12"/>
        <v>PF3</v>
      </c>
    </row>
    <row r="381" spans="1:12" x14ac:dyDescent="0.25">
      <c r="A381" s="2">
        <v>371</v>
      </c>
      <c r="B381" s="3" t="s">
        <v>748</v>
      </c>
      <c r="C381" s="2" t="s">
        <v>749</v>
      </c>
      <c r="D381" s="2" t="s">
        <v>35</v>
      </c>
      <c r="E381" s="3" t="s">
        <v>1338</v>
      </c>
      <c r="G381" s="18"/>
      <c r="K381" s="7" t="str">
        <f t="shared" si="11"/>
        <v>Meter7</v>
      </c>
      <c r="L381" s="7" t="str">
        <f t="shared" si="12"/>
        <v>PF</v>
      </c>
    </row>
    <row r="382" spans="1:12" x14ac:dyDescent="0.25">
      <c r="A382" s="2">
        <v>372</v>
      </c>
      <c r="B382" s="3" t="s">
        <v>750</v>
      </c>
      <c r="C382" s="2" t="s">
        <v>751</v>
      </c>
      <c r="D382" s="2" t="s">
        <v>35</v>
      </c>
      <c r="E382" s="3" t="s">
        <v>1339</v>
      </c>
      <c r="G382" s="18"/>
      <c r="K382" s="7" t="str">
        <f t="shared" si="11"/>
        <v>Meter7</v>
      </c>
      <c r="L382" s="7" t="str">
        <f t="shared" si="12"/>
        <v>freq</v>
      </c>
    </row>
    <row r="383" spans="1:12" x14ac:dyDescent="0.25">
      <c r="A383" s="2">
        <v>373</v>
      </c>
      <c r="B383" s="3" t="s">
        <v>752</v>
      </c>
      <c r="C383" s="2" t="s">
        <v>753</v>
      </c>
      <c r="D383" s="2" t="s">
        <v>35</v>
      </c>
      <c r="E383" s="3" t="s">
        <v>1340</v>
      </c>
      <c r="G383" s="18"/>
      <c r="K383" s="7" t="str">
        <f t="shared" si="11"/>
        <v>Meter7</v>
      </c>
      <c r="L383" s="7" t="str">
        <f t="shared" si="12"/>
        <v>kwh</v>
      </c>
    </row>
    <row r="384" spans="1:12" x14ac:dyDescent="0.25">
      <c r="A384" s="2">
        <v>374</v>
      </c>
      <c r="B384" s="3" t="s">
        <v>754</v>
      </c>
      <c r="C384" s="2" t="s">
        <v>755</v>
      </c>
      <c r="D384" s="2" t="s">
        <v>35</v>
      </c>
      <c r="E384" s="3" t="s">
        <v>1341</v>
      </c>
      <c r="G384" s="18"/>
      <c r="K384" s="7" t="str">
        <f t="shared" si="11"/>
        <v>Meter7</v>
      </c>
      <c r="L384" s="7" t="str">
        <f t="shared" si="12"/>
        <v>kvah</v>
      </c>
    </row>
    <row r="385" spans="1:12" x14ac:dyDescent="0.25">
      <c r="A385" s="2">
        <v>375</v>
      </c>
      <c r="B385" s="3" t="s">
        <v>756</v>
      </c>
      <c r="C385" s="2" t="s">
        <v>757</v>
      </c>
      <c r="D385" s="2" t="s">
        <v>35</v>
      </c>
      <c r="E385" s="3" t="s">
        <v>1342</v>
      </c>
      <c r="G385" s="18"/>
      <c r="K385" s="7" t="str">
        <f t="shared" si="11"/>
        <v>Meter7</v>
      </c>
      <c r="L385" s="7" t="str">
        <f t="shared" si="12"/>
        <v>kvarh</v>
      </c>
    </row>
    <row r="386" spans="1:12" x14ac:dyDescent="0.25">
      <c r="A386" s="2">
        <v>376</v>
      </c>
      <c r="B386" s="3" t="s">
        <v>758</v>
      </c>
      <c r="C386" s="2" t="s">
        <v>759</v>
      </c>
      <c r="D386" s="2" t="s">
        <v>7</v>
      </c>
      <c r="E386" s="3" t="s">
        <v>1343</v>
      </c>
      <c r="G386" s="18"/>
      <c r="K386" s="7" t="str">
        <f t="shared" si="11"/>
        <v>Pump7</v>
      </c>
      <c r="L386" s="7" t="str">
        <f t="shared" si="12"/>
        <v>Ctrl_run_Pump</v>
      </c>
    </row>
    <row r="387" spans="1:12" x14ac:dyDescent="0.25">
      <c r="A387" s="2">
        <v>377</v>
      </c>
      <c r="B387" s="3" t="s">
        <v>760</v>
      </c>
      <c r="C387" s="2" t="s">
        <v>761</v>
      </c>
      <c r="D387" s="2" t="s">
        <v>7</v>
      </c>
      <c r="E387" s="3" t="s">
        <v>1354</v>
      </c>
      <c r="G387" s="18"/>
      <c r="H387" t="s">
        <v>1496</v>
      </c>
      <c r="K387" s="7" t="str">
        <f t="shared" si="11"/>
        <v>Pump7</v>
      </c>
      <c r="L387" s="7" t="str">
        <f t="shared" si="12"/>
        <v>FB_Fault</v>
      </c>
    </row>
    <row r="388" spans="1:12" x14ac:dyDescent="0.25">
      <c r="A388" s="2">
        <v>378</v>
      </c>
      <c r="B388" s="3" t="s">
        <v>762</v>
      </c>
      <c r="C388" s="2" t="s">
        <v>763</v>
      </c>
      <c r="D388" s="2" t="s">
        <v>7</v>
      </c>
      <c r="E388" s="3" t="s">
        <v>1344</v>
      </c>
      <c r="G388" s="18"/>
      <c r="K388" s="7" t="str">
        <f t="shared" si="11"/>
        <v>Pump7</v>
      </c>
      <c r="L388" s="7" t="str">
        <f t="shared" si="12"/>
        <v>Ctrl_PB_Run</v>
      </c>
    </row>
    <row r="389" spans="1:12" x14ac:dyDescent="0.25">
      <c r="A389" s="2">
        <v>379</v>
      </c>
      <c r="B389" s="3" t="s">
        <v>764</v>
      </c>
      <c r="C389" s="2" t="s">
        <v>765</v>
      </c>
      <c r="D389" s="2" t="s">
        <v>7</v>
      </c>
      <c r="E389" s="3" t="s">
        <v>1345</v>
      </c>
      <c r="G389" s="18"/>
      <c r="K389" s="7" t="str">
        <f t="shared" si="11"/>
        <v>Pump7</v>
      </c>
      <c r="L389" s="7" t="str">
        <f t="shared" si="12"/>
        <v>Ctrl_PB_Stop</v>
      </c>
    </row>
    <row r="390" spans="1:12" x14ac:dyDescent="0.25">
      <c r="A390" s="2">
        <v>380</v>
      </c>
      <c r="B390" s="3" t="s">
        <v>766</v>
      </c>
      <c r="C390" s="2" t="s">
        <v>767</v>
      </c>
      <c r="D390" s="2" t="s">
        <v>7</v>
      </c>
      <c r="E390" s="3" t="s">
        <v>1346</v>
      </c>
      <c r="G390" s="18"/>
      <c r="K390" s="7" t="str">
        <f t="shared" si="11"/>
        <v>Pump7</v>
      </c>
      <c r="L390" s="7" t="str">
        <f t="shared" si="12"/>
        <v>Ctrl_PB_RST</v>
      </c>
    </row>
    <row r="391" spans="1:12" x14ac:dyDescent="0.25">
      <c r="A391" s="2">
        <v>381</v>
      </c>
      <c r="B391" s="3" t="s">
        <v>768</v>
      </c>
      <c r="C391" s="2" t="s">
        <v>769</v>
      </c>
      <c r="D391" s="2" t="s">
        <v>24</v>
      </c>
      <c r="E391" s="3" t="s">
        <v>1347</v>
      </c>
      <c r="G391" s="18"/>
      <c r="K391" s="7" t="str">
        <f t="shared" si="11"/>
        <v>Pump7</v>
      </c>
      <c r="L391" s="7" t="str">
        <f t="shared" si="12"/>
        <v>Time_Run_M</v>
      </c>
    </row>
    <row r="392" spans="1:12" x14ac:dyDescent="0.25">
      <c r="A392" s="2">
        <v>382</v>
      </c>
      <c r="B392" s="3" t="s">
        <v>770</v>
      </c>
      <c r="C392" s="2" t="s">
        <v>771</v>
      </c>
      <c r="D392" s="2" t="s">
        <v>24</v>
      </c>
      <c r="E392" s="3" t="s">
        <v>1348</v>
      </c>
      <c r="G392" s="18"/>
      <c r="K392" s="7" t="str">
        <f t="shared" si="11"/>
        <v>Pump7</v>
      </c>
      <c r="L392" s="7" t="str">
        <f t="shared" si="12"/>
        <v>Time_Run_H</v>
      </c>
    </row>
    <row r="393" spans="1:12" x14ac:dyDescent="0.25">
      <c r="A393" s="2">
        <v>383</v>
      </c>
      <c r="B393" s="3" t="s">
        <v>772</v>
      </c>
      <c r="C393" s="2" t="s">
        <v>773</v>
      </c>
      <c r="D393" s="2" t="s">
        <v>24</v>
      </c>
      <c r="E393" s="3" t="s">
        <v>1349</v>
      </c>
      <c r="G393" s="18"/>
      <c r="K393" s="7" t="str">
        <f t="shared" si="11"/>
        <v>Pump7</v>
      </c>
      <c r="L393" s="7" t="str">
        <f t="shared" si="12"/>
        <v>Total_Time_Run_M</v>
      </c>
    </row>
    <row r="394" spans="1:12" x14ac:dyDescent="0.25">
      <c r="A394" s="2">
        <v>384</v>
      </c>
      <c r="B394" s="3" t="s">
        <v>774</v>
      </c>
      <c r="C394" s="2" t="s">
        <v>775</v>
      </c>
      <c r="D394" s="2" t="s">
        <v>24</v>
      </c>
      <c r="E394" s="3" t="s">
        <v>1350</v>
      </c>
      <c r="G394" s="18"/>
      <c r="H394" t="s">
        <v>1407</v>
      </c>
      <c r="K394" s="7" t="str">
        <f t="shared" si="11"/>
        <v>Pump7</v>
      </c>
      <c r="L394" s="7" t="str">
        <f t="shared" si="12"/>
        <v>Total_Time_Run_H</v>
      </c>
    </row>
    <row r="395" spans="1:12" x14ac:dyDescent="0.25">
      <c r="A395" s="2">
        <v>385</v>
      </c>
      <c r="B395" s="3" t="s">
        <v>776</v>
      </c>
      <c r="C395" s="2" t="s">
        <v>777</v>
      </c>
      <c r="D395" s="2" t="s">
        <v>24</v>
      </c>
      <c r="E395" s="3" t="s">
        <v>1351</v>
      </c>
      <c r="G395" s="18"/>
      <c r="K395" s="7" t="str">
        <f t="shared" si="11"/>
        <v>Pump7</v>
      </c>
      <c r="L395" s="7" t="str">
        <f t="shared" si="12"/>
        <v>NumberOfclose</v>
      </c>
    </row>
    <row r="396" spans="1:12" x14ac:dyDescent="0.25">
      <c r="A396" s="2">
        <v>386</v>
      </c>
      <c r="B396" s="3" t="s">
        <v>778</v>
      </c>
      <c r="C396" s="2" t="s">
        <v>779</v>
      </c>
      <c r="D396" s="2" t="s">
        <v>7</v>
      </c>
      <c r="E396" s="3" t="s">
        <v>1355</v>
      </c>
      <c r="G396" s="18" t="s">
        <v>1502</v>
      </c>
      <c r="K396" s="7" t="str">
        <f t="shared" ref="K396:K461" si="13">LEFT(B396, SEARCH("_",B396 ) - 1)</f>
        <v>Pump8</v>
      </c>
      <c r="L396" s="7" t="str">
        <f t="shared" si="12"/>
        <v>FB_auto</v>
      </c>
    </row>
    <row r="397" spans="1:12" x14ac:dyDescent="0.25">
      <c r="A397" s="2">
        <v>387</v>
      </c>
      <c r="B397" s="3" t="s">
        <v>780</v>
      </c>
      <c r="C397" s="2" t="s">
        <v>781</v>
      </c>
      <c r="D397" s="2" t="s">
        <v>7</v>
      </c>
      <c r="E397" s="3" t="s">
        <v>1306</v>
      </c>
      <c r="G397" s="18"/>
      <c r="H397" t="s">
        <v>1505</v>
      </c>
      <c r="K397" s="7" t="str">
        <f t="shared" si="13"/>
        <v>Pump8</v>
      </c>
      <c r="L397" s="7" t="str">
        <f t="shared" si="12"/>
        <v>FB_Run</v>
      </c>
    </row>
    <row r="398" spans="1:12" x14ac:dyDescent="0.25">
      <c r="A398" s="2">
        <v>388</v>
      </c>
      <c r="B398" s="3" t="s">
        <v>782</v>
      </c>
      <c r="C398" s="2" t="s">
        <v>783</v>
      </c>
      <c r="D398" s="2" t="s">
        <v>7</v>
      </c>
      <c r="E398" s="3" t="s">
        <v>1307</v>
      </c>
      <c r="G398" s="18"/>
      <c r="K398" s="7" t="str">
        <f t="shared" si="13"/>
        <v>Pump8</v>
      </c>
      <c r="L398" s="7" t="str">
        <f t="shared" si="12"/>
        <v>FB_Fault_V</v>
      </c>
    </row>
    <row r="399" spans="1:12" x14ac:dyDescent="0.25">
      <c r="A399" s="2">
        <v>389</v>
      </c>
      <c r="B399" s="3" t="s">
        <v>784</v>
      </c>
      <c r="C399" s="2" t="s">
        <v>785</v>
      </c>
      <c r="D399" s="2" t="s">
        <v>7</v>
      </c>
      <c r="E399" s="3" t="s">
        <v>1307</v>
      </c>
      <c r="G399" s="18"/>
      <c r="K399" s="7" t="str">
        <f t="shared" si="13"/>
        <v>Pump8</v>
      </c>
      <c r="L399" s="7" t="str">
        <f t="shared" si="12"/>
        <v>FB_Fault_SS</v>
      </c>
    </row>
    <row r="400" spans="1:12" x14ac:dyDescent="0.25">
      <c r="A400" s="2">
        <v>390</v>
      </c>
      <c r="B400" s="3" t="s">
        <v>786</v>
      </c>
      <c r="C400" s="2" t="s">
        <v>787</v>
      </c>
      <c r="D400" s="2" t="s">
        <v>7</v>
      </c>
      <c r="E400" s="3" t="s">
        <v>1356</v>
      </c>
      <c r="G400" s="18"/>
      <c r="K400" s="7" t="str">
        <f t="shared" si="13"/>
        <v>Pump8</v>
      </c>
      <c r="L400" s="7" t="str">
        <f t="shared" si="12"/>
        <v>FB_Fault_Temp</v>
      </c>
    </row>
    <row r="401" spans="1:12" x14ac:dyDescent="0.25">
      <c r="A401" s="2">
        <v>391</v>
      </c>
      <c r="B401" s="3" t="s">
        <v>788</v>
      </c>
      <c r="C401" s="2" t="s">
        <v>789</v>
      </c>
      <c r="D401" s="2" t="s">
        <v>7</v>
      </c>
      <c r="E401" s="3" t="s">
        <v>1307</v>
      </c>
      <c r="G401" s="18"/>
      <c r="K401" s="7" t="str">
        <f t="shared" si="13"/>
        <v>Pump8</v>
      </c>
      <c r="L401" s="7" t="str">
        <f t="shared" ref="L401:L466" si="14">RIGHT(B401, LEN(B401)-SEARCH("_",B401 ))</f>
        <v>FB_Fault_Curent</v>
      </c>
    </row>
    <row r="402" spans="1:12" x14ac:dyDescent="0.25">
      <c r="A402" s="2">
        <v>392</v>
      </c>
      <c r="B402" s="3" t="s">
        <v>790</v>
      </c>
      <c r="C402" s="2" t="s">
        <v>791</v>
      </c>
      <c r="D402" s="2" t="s">
        <v>7</v>
      </c>
      <c r="E402" s="3" t="s">
        <v>1357</v>
      </c>
      <c r="G402" s="18"/>
      <c r="K402" s="7" t="str">
        <f t="shared" si="13"/>
        <v>Pump8</v>
      </c>
      <c r="L402" s="7" t="str">
        <f t="shared" si="14"/>
        <v>Clock_1m</v>
      </c>
    </row>
    <row r="403" spans="1:12" x14ac:dyDescent="0.25">
      <c r="A403" s="2">
        <v>393</v>
      </c>
      <c r="B403" s="3" t="s">
        <v>792</v>
      </c>
      <c r="C403" s="2" t="s">
        <v>793</v>
      </c>
      <c r="D403" s="2" t="s">
        <v>7</v>
      </c>
      <c r="E403" s="3" t="s">
        <v>1358</v>
      </c>
      <c r="G403" s="18"/>
      <c r="H403" t="s">
        <v>1495</v>
      </c>
      <c r="K403" s="7" t="str">
        <f t="shared" si="13"/>
        <v>Pump8</v>
      </c>
      <c r="L403" s="7" t="str">
        <f t="shared" si="14"/>
        <v>FB_stop</v>
      </c>
    </row>
    <row r="404" spans="1:12" x14ac:dyDescent="0.25">
      <c r="A404" s="2">
        <v>8</v>
      </c>
      <c r="B404" s="12" t="s">
        <v>1440</v>
      </c>
      <c r="C404" s="2" t="s">
        <v>21</v>
      </c>
      <c r="D404" s="2" t="s">
        <v>7</v>
      </c>
      <c r="E404" s="3" t="s">
        <v>1393</v>
      </c>
      <c r="G404" s="18"/>
      <c r="H404" t="s">
        <v>1494</v>
      </c>
      <c r="K404" s="7" t="str">
        <f t="shared" si="13"/>
        <v>Pump8</v>
      </c>
      <c r="L404" s="7" t="str">
        <f t="shared" si="14"/>
        <v>FB_maintenance</v>
      </c>
    </row>
    <row r="405" spans="1:12" x14ac:dyDescent="0.25">
      <c r="A405" s="2">
        <v>394</v>
      </c>
      <c r="B405" s="3" t="s">
        <v>794</v>
      </c>
      <c r="C405" s="2" t="s">
        <v>795</v>
      </c>
      <c r="D405" s="2" t="s">
        <v>24</v>
      </c>
      <c r="E405" s="3" t="s">
        <v>1352</v>
      </c>
      <c r="G405" s="18"/>
      <c r="K405" s="7" t="str">
        <f t="shared" si="13"/>
        <v>Pump8</v>
      </c>
      <c r="L405" s="7" t="str">
        <f t="shared" si="14"/>
        <v>FB_Temp_DEBearing</v>
      </c>
    </row>
    <row r="406" spans="1:12" x14ac:dyDescent="0.25">
      <c r="A406" s="2">
        <v>395</v>
      </c>
      <c r="B406" s="3" t="s">
        <v>796</v>
      </c>
      <c r="C406" s="2" t="s">
        <v>797</v>
      </c>
      <c r="D406" s="2" t="s">
        <v>24</v>
      </c>
      <c r="E406" s="3" t="s">
        <v>1353</v>
      </c>
      <c r="G406" s="18"/>
      <c r="K406" s="7" t="str">
        <f t="shared" si="13"/>
        <v>Pump8</v>
      </c>
      <c r="L406" s="7" t="str">
        <f t="shared" si="14"/>
        <v>FB_Temp_NDEBearing</v>
      </c>
    </row>
    <row r="407" spans="1:12" x14ac:dyDescent="0.25">
      <c r="A407" s="2">
        <v>396</v>
      </c>
      <c r="B407" s="3" t="s">
        <v>798</v>
      </c>
      <c r="C407" s="2" t="s">
        <v>799</v>
      </c>
      <c r="D407" s="2" t="s">
        <v>24</v>
      </c>
      <c r="E407" s="3" t="s">
        <v>1308</v>
      </c>
      <c r="G407" s="18"/>
      <c r="K407" s="7" t="str">
        <f t="shared" si="13"/>
        <v>Pump8</v>
      </c>
      <c r="L407" s="7" t="str">
        <f t="shared" si="14"/>
        <v>FB_Temp_PhaseA</v>
      </c>
    </row>
    <row r="408" spans="1:12" x14ac:dyDescent="0.25">
      <c r="A408" s="2">
        <v>397</v>
      </c>
      <c r="B408" s="3" t="s">
        <v>800</v>
      </c>
      <c r="C408" s="2" t="s">
        <v>801</v>
      </c>
      <c r="D408" s="2" t="s">
        <v>24</v>
      </c>
      <c r="E408" s="3" t="s">
        <v>1309</v>
      </c>
      <c r="G408" s="18"/>
      <c r="K408" s="7" t="str">
        <f t="shared" si="13"/>
        <v>Pump8</v>
      </c>
      <c r="L408" s="7" t="str">
        <f t="shared" si="14"/>
        <v>FB_Temp_PhaseB</v>
      </c>
    </row>
    <row r="409" spans="1:12" x14ac:dyDescent="0.25">
      <c r="A409" s="2">
        <v>398</v>
      </c>
      <c r="B409" s="3" t="s">
        <v>802</v>
      </c>
      <c r="C409" s="2" t="s">
        <v>803</v>
      </c>
      <c r="D409" s="2" t="s">
        <v>24</v>
      </c>
      <c r="E409" s="3" t="s">
        <v>1310</v>
      </c>
      <c r="G409" s="18"/>
      <c r="K409" s="7" t="str">
        <f t="shared" si="13"/>
        <v>Pump8</v>
      </c>
      <c r="L409" s="7" t="str">
        <f t="shared" si="14"/>
        <v>FB_Temp_PhaseC</v>
      </c>
    </row>
    <row r="410" spans="1:12" x14ac:dyDescent="0.25">
      <c r="A410" s="2">
        <v>399</v>
      </c>
      <c r="B410" s="3" t="s">
        <v>804</v>
      </c>
      <c r="C410" s="2" t="s">
        <v>805</v>
      </c>
      <c r="D410" s="2" t="s">
        <v>35</v>
      </c>
      <c r="E410" s="3" t="s">
        <v>1315</v>
      </c>
      <c r="G410" s="18"/>
      <c r="K410" s="7" t="str">
        <f t="shared" si="13"/>
        <v>Meter8</v>
      </c>
      <c r="L410" s="7" t="str">
        <f t="shared" si="14"/>
        <v>U1</v>
      </c>
    </row>
    <row r="411" spans="1:12" x14ac:dyDescent="0.25">
      <c r="A411" s="2">
        <v>400</v>
      </c>
      <c r="B411" s="3" t="s">
        <v>806</v>
      </c>
      <c r="C411" s="2" t="s">
        <v>807</v>
      </c>
      <c r="D411" s="2" t="s">
        <v>35</v>
      </c>
      <c r="E411" s="3" t="s">
        <v>1316</v>
      </c>
      <c r="G411" s="18"/>
      <c r="K411" s="7" t="str">
        <f t="shared" si="13"/>
        <v>Meter8</v>
      </c>
      <c r="L411" s="7" t="str">
        <f t="shared" si="14"/>
        <v>U2</v>
      </c>
    </row>
    <row r="412" spans="1:12" x14ac:dyDescent="0.25">
      <c r="A412" s="2">
        <v>401</v>
      </c>
      <c r="B412" s="3" t="s">
        <v>808</v>
      </c>
      <c r="C412" s="2" t="s">
        <v>809</v>
      </c>
      <c r="D412" s="2" t="s">
        <v>35</v>
      </c>
      <c r="E412" s="3" t="s">
        <v>1317</v>
      </c>
      <c r="G412" s="18"/>
      <c r="K412" s="7" t="str">
        <f t="shared" si="13"/>
        <v>Meter8</v>
      </c>
      <c r="L412" s="7" t="str">
        <f t="shared" si="14"/>
        <v>U3</v>
      </c>
    </row>
    <row r="413" spans="1:12" x14ac:dyDescent="0.25">
      <c r="A413" s="2">
        <v>402</v>
      </c>
      <c r="B413" s="3" t="s">
        <v>810</v>
      </c>
      <c r="C413" s="2" t="s">
        <v>811</v>
      </c>
      <c r="D413" s="2" t="s">
        <v>35</v>
      </c>
      <c r="E413" s="3" t="s">
        <v>1318</v>
      </c>
      <c r="G413" s="18"/>
      <c r="K413" s="7" t="str">
        <f t="shared" si="13"/>
        <v>Meter8</v>
      </c>
      <c r="L413" s="7" t="str">
        <f t="shared" si="14"/>
        <v>U_Ph</v>
      </c>
    </row>
    <row r="414" spans="1:12" x14ac:dyDescent="0.25">
      <c r="A414" s="2">
        <v>403</v>
      </c>
      <c r="B414" s="3" t="s">
        <v>812</v>
      </c>
      <c r="C414" s="2" t="s">
        <v>813</v>
      </c>
      <c r="D414" s="2" t="s">
        <v>35</v>
      </c>
      <c r="E414" s="3" t="s">
        <v>1319</v>
      </c>
      <c r="G414" s="18"/>
      <c r="K414" s="7" t="str">
        <f t="shared" si="13"/>
        <v>Meter8</v>
      </c>
      <c r="L414" s="7" t="str">
        <f t="shared" si="14"/>
        <v>U12</v>
      </c>
    </row>
    <row r="415" spans="1:12" x14ac:dyDescent="0.25">
      <c r="A415" s="2">
        <v>404</v>
      </c>
      <c r="B415" s="3" t="s">
        <v>814</v>
      </c>
      <c r="C415" s="2" t="s">
        <v>815</v>
      </c>
      <c r="D415" s="2" t="s">
        <v>35</v>
      </c>
      <c r="E415" s="3" t="s">
        <v>1320</v>
      </c>
      <c r="G415" s="18"/>
      <c r="K415" s="7" t="str">
        <f t="shared" si="13"/>
        <v>Meter8</v>
      </c>
      <c r="L415" s="7" t="str">
        <f t="shared" si="14"/>
        <v>U23</v>
      </c>
    </row>
    <row r="416" spans="1:12" x14ac:dyDescent="0.25">
      <c r="A416" s="2">
        <v>405</v>
      </c>
      <c r="B416" s="3" t="s">
        <v>816</v>
      </c>
      <c r="C416" s="2" t="s">
        <v>817</v>
      </c>
      <c r="D416" s="2" t="s">
        <v>35</v>
      </c>
      <c r="E416" s="3" t="s">
        <v>1321</v>
      </c>
      <c r="G416" s="18"/>
      <c r="K416" s="7" t="str">
        <f t="shared" si="13"/>
        <v>Meter8</v>
      </c>
      <c r="L416" s="7" t="str">
        <f t="shared" si="14"/>
        <v>U31</v>
      </c>
    </row>
    <row r="417" spans="1:12" x14ac:dyDescent="0.25">
      <c r="A417" s="2">
        <v>406</v>
      </c>
      <c r="B417" s="3" t="s">
        <v>818</v>
      </c>
      <c r="C417" s="2" t="s">
        <v>819</v>
      </c>
      <c r="D417" s="2" t="s">
        <v>35</v>
      </c>
      <c r="E417" s="3" t="s">
        <v>1322</v>
      </c>
      <c r="G417" s="18"/>
      <c r="K417" s="7" t="str">
        <f t="shared" si="13"/>
        <v>Meter8</v>
      </c>
      <c r="L417" s="7" t="str">
        <f t="shared" si="14"/>
        <v>Uline</v>
      </c>
    </row>
    <row r="418" spans="1:12" x14ac:dyDescent="0.25">
      <c r="A418" s="2">
        <v>407</v>
      </c>
      <c r="B418" s="3" t="s">
        <v>820</v>
      </c>
      <c r="C418" s="2" t="s">
        <v>821</v>
      </c>
      <c r="D418" s="2" t="s">
        <v>35</v>
      </c>
      <c r="E418" s="3" t="s">
        <v>1312</v>
      </c>
      <c r="G418" s="18"/>
      <c r="H418" s="7"/>
      <c r="K418" s="7" t="str">
        <f t="shared" si="13"/>
        <v>Meter8</v>
      </c>
      <c r="L418" s="7" t="str">
        <f t="shared" si="14"/>
        <v>I1</v>
      </c>
    </row>
    <row r="419" spans="1:12" x14ac:dyDescent="0.25">
      <c r="A419" s="2">
        <v>408</v>
      </c>
      <c r="B419" s="3" t="s">
        <v>822</v>
      </c>
      <c r="C419" s="2" t="s">
        <v>823</v>
      </c>
      <c r="D419" s="2" t="s">
        <v>35</v>
      </c>
      <c r="E419" s="3" t="s">
        <v>1313</v>
      </c>
      <c r="G419" s="18"/>
      <c r="H419" s="7"/>
      <c r="K419" s="7" t="str">
        <f t="shared" si="13"/>
        <v>Meter8</v>
      </c>
      <c r="L419" s="7" t="str">
        <f t="shared" si="14"/>
        <v>I2</v>
      </c>
    </row>
    <row r="420" spans="1:12" x14ac:dyDescent="0.25">
      <c r="A420" s="2">
        <v>409</v>
      </c>
      <c r="B420" s="3" t="s">
        <v>824</v>
      </c>
      <c r="C420" s="2" t="s">
        <v>825</v>
      </c>
      <c r="D420" s="2" t="s">
        <v>35</v>
      </c>
      <c r="E420" s="3" t="s">
        <v>1314</v>
      </c>
      <c r="G420" s="18"/>
      <c r="H420" s="7"/>
      <c r="K420" s="7" t="str">
        <f t="shared" si="13"/>
        <v>Meter8</v>
      </c>
      <c r="L420" s="7" t="str">
        <f t="shared" si="14"/>
        <v>I3</v>
      </c>
    </row>
    <row r="421" spans="1:12" x14ac:dyDescent="0.25">
      <c r="A421" s="2">
        <v>410</v>
      </c>
      <c r="B421" s="3" t="s">
        <v>826</v>
      </c>
      <c r="C421" s="2" t="s">
        <v>827</v>
      </c>
      <c r="D421" s="2" t="s">
        <v>35</v>
      </c>
      <c r="E421" s="3" t="s">
        <v>1311</v>
      </c>
      <c r="G421" s="18"/>
      <c r="H421" s="3" t="s">
        <v>1311</v>
      </c>
      <c r="K421" s="7" t="str">
        <f t="shared" si="13"/>
        <v>Meter8</v>
      </c>
      <c r="L421" s="7" t="str">
        <f t="shared" si="14"/>
        <v>I_ph</v>
      </c>
    </row>
    <row r="422" spans="1:12" x14ac:dyDescent="0.25">
      <c r="A422" s="2">
        <v>411</v>
      </c>
      <c r="B422" s="3" t="s">
        <v>828</v>
      </c>
      <c r="C422" s="2" t="s">
        <v>829</v>
      </c>
      <c r="D422" s="2" t="s">
        <v>35</v>
      </c>
      <c r="E422" s="3" t="s">
        <v>1323</v>
      </c>
      <c r="G422" s="18"/>
      <c r="K422" s="7" t="str">
        <f t="shared" si="13"/>
        <v>Meter8</v>
      </c>
      <c r="L422" s="7" t="str">
        <f t="shared" si="14"/>
        <v>kw1</v>
      </c>
    </row>
    <row r="423" spans="1:12" x14ac:dyDescent="0.25">
      <c r="A423" s="2">
        <v>412</v>
      </c>
      <c r="B423" s="3" t="s">
        <v>830</v>
      </c>
      <c r="C423" s="2" t="s">
        <v>831</v>
      </c>
      <c r="D423" s="2" t="s">
        <v>35</v>
      </c>
      <c r="E423" s="3" t="s">
        <v>1324</v>
      </c>
      <c r="G423" s="18"/>
      <c r="K423" s="7" t="str">
        <f t="shared" si="13"/>
        <v>Meter8</v>
      </c>
      <c r="L423" s="7" t="str">
        <f t="shared" si="14"/>
        <v>kw2</v>
      </c>
    </row>
    <row r="424" spans="1:12" x14ac:dyDescent="0.25">
      <c r="A424" s="2">
        <v>413</v>
      </c>
      <c r="B424" s="3" t="s">
        <v>832</v>
      </c>
      <c r="C424" s="2" t="s">
        <v>833</v>
      </c>
      <c r="D424" s="2" t="s">
        <v>35</v>
      </c>
      <c r="E424" s="3" t="s">
        <v>1325</v>
      </c>
      <c r="G424" s="18"/>
      <c r="K424" s="7" t="str">
        <f t="shared" si="13"/>
        <v>Meter8</v>
      </c>
      <c r="L424" s="7" t="str">
        <f t="shared" si="14"/>
        <v>kw3</v>
      </c>
    </row>
    <row r="425" spans="1:12" x14ac:dyDescent="0.25">
      <c r="A425" s="2">
        <v>414</v>
      </c>
      <c r="B425" s="3" t="s">
        <v>834</v>
      </c>
      <c r="C425" s="2" t="s">
        <v>835</v>
      </c>
      <c r="D425" s="2" t="s">
        <v>35</v>
      </c>
      <c r="E425" s="3" t="s">
        <v>1326</v>
      </c>
      <c r="G425" s="18"/>
      <c r="K425" s="7" t="str">
        <f t="shared" si="13"/>
        <v>Meter8</v>
      </c>
      <c r="L425" s="7" t="str">
        <f t="shared" si="14"/>
        <v>kva1</v>
      </c>
    </row>
    <row r="426" spans="1:12" x14ac:dyDescent="0.25">
      <c r="A426" s="2">
        <v>415</v>
      </c>
      <c r="B426" s="3" t="s">
        <v>836</v>
      </c>
      <c r="C426" s="2" t="s">
        <v>837</v>
      </c>
      <c r="D426" s="2" t="s">
        <v>35</v>
      </c>
      <c r="E426" s="3" t="s">
        <v>1327</v>
      </c>
      <c r="G426" s="18"/>
      <c r="K426" s="7" t="str">
        <f t="shared" si="13"/>
        <v>Meter8</v>
      </c>
      <c r="L426" s="7" t="str">
        <f t="shared" si="14"/>
        <v>kva2</v>
      </c>
    </row>
    <row r="427" spans="1:12" x14ac:dyDescent="0.25">
      <c r="A427" s="2">
        <v>416</v>
      </c>
      <c r="B427" s="3" t="s">
        <v>838</v>
      </c>
      <c r="C427" s="2" t="s">
        <v>839</v>
      </c>
      <c r="D427" s="2" t="s">
        <v>35</v>
      </c>
      <c r="E427" s="3" t="s">
        <v>1328</v>
      </c>
      <c r="G427" s="18"/>
      <c r="K427" s="7" t="str">
        <f t="shared" si="13"/>
        <v>Meter8</v>
      </c>
      <c r="L427" s="7" t="str">
        <f t="shared" si="14"/>
        <v>kva3</v>
      </c>
    </row>
    <row r="428" spans="1:12" x14ac:dyDescent="0.25">
      <c r="A428" s="2">
        <v>417</v>
      </c>
      <c r="B428" s="3" t="s">
        <v>840</v>
      </c>
      <c r="C428" s="2" t="s">
        <v>841</v>
      </c>
      <c r="D428" s="2" t="s">
        <v>35</v>
      </c>
      <c r="E428" s="3" t="s">
        <v>1329</v>
      </c>
      <c r="G428" s="18"/>
      <c r="K428" s="7" t="str">
        <f t="shared" si="13"/>
        <v>Meter8</v>
      </c>
      <c r="L428" s="7" t="str">
        <f t="shared" si="14"/>
        <v>kvar1</v>
      </c>
    </row>
    <row r="429" spans="1:12" x14ac:dyDescent="0.25">
      <c r="A429" s="2">
        <v>418</v>
      </c>
      <c r="B429" s="3" t="s">
        <v>842</v>
      </c>
      <c r="C429" s="2" t="s">
        <v>843</v>
      </c>
      <c r="D429" s="2" t="s">
        <v>35</v>
      </c>
      <c r="E429" s="3" t="s">
        <v>1330</v>
      </c>
      <c r="G429" s="18"/>
      <c r="K429" s="7" t="str">
        <f t="shared" si="13"/>
        <v>Meter8</v>
      </c>
      <c r="L429" s="7" t="str">
        <f t="shared" si="14"/>
        <v>kvar2</v>
      </c>
    </row>
    <row r="430" spans="1:12" x14ac:dyDescent="0.25">
      <c r="A430" s="2">
        <v>419</v>
      </c>
      <c r="B430" s="3" t="s">
        <v>844</v>
      </c>
      <c r="C430" s="2" t="s">
        <v>845</v>
      </c>
      <c r="D430" s="2" t="s">
        <v>35</v>
      </c>
      <c r="E430" s="3" t="s">
        <v>1331</v>
      </c>
      <c r="G430" s="18"/>
      <c r="K430" s="7" t="str">
        <f t="shared" si="13"/>
        <v>Meter8</v>
      </c>
      <c r="L430" s="7" t="str">
        <f t="shared" si="14"/>
        <v>kvar3</v>
      </c>
    </row>
    <row r="431" spans="1:12" x14ac:dyDescent="0.25">
      <c r="A431" s="2">
        <v>420</v>
      </c>
      <c r="B431" s="3" t="s">
        <v>846</v>
      </c>
      <c r="C431" s="2" t="s">
        <v>847</v>
      </c>
      <c r="D431" s="2" t="s">
        <v>35</v>
      </c>
      <c r="E431" s="3" t="s">
        <v>1332</v>
      </c>
      <c r="G431" s="18"/>
      <c r="K431" s="7" t="str">
        <f t="shared" si="13"/>
        <v>Meter8</v>
      </c>
      <c r="L431" s="7" t="str">
        <f t="shared" si="14"/>
        <v>total_kw</v>
      </c>
    </row>
    <row r="432" spans="1:12" x14ac:dyDescent="0.25">
      <c r="A432" s="2">
        <v>421</v>
      </c>
      <c r="B432" s="3" t="s">
        <v>848</v>
      </c>
      <c r="C432" s="2" t="s">
        <v>849</v>
      </c>
      <c r="D432" s="2" t="s">
        <v>35</v>
      </c>
      <c r="E432" s="3" t="s">
        <v>1333</v>
      </c>
      <c r="G432" s="18"/>
      <c r="K432" s="7" t="str">
        <f t="shared" si="13"/>
        <v>Meter8</v>
      </c>
      <c r="L432" s="7" t="str">
        <f t="shared" si="14"/>
        <v>total_kva</v>
      </c>
    </row>
    <row r="433" spans="1:12" x14ac:dyDescent="0.25">
      <c r="A433" s="2">
        <v>422</v>
      </c>
      <c r="B433" s="3" t="s">
        <v>850</v>
      </c>
      <c r="C433" s="2" t="s">
        <v>851</v>
      </c>
      <c r="D433" s="2" t="s">
        <v>35</v>
      </c>
      <c r="E433" s="3" t="s">
        <v>1334</v>
      </c>
      <c r="G433" s="18"/>
      <c r="K433" s="7" t="str">
        <f t="shared" si="13"/>
        <v>Meter8</v>
      </c>
      <c r="L433" s="7" t="str">
        <f t="shared" si="14"/>
        <v>total_kvar</v>
      </c>
    </row>
    <row r="434" spans="1:12" x14ac:dyDescent="0.25">
      <c r="A434" s="2">
        <v>423</v>
      </c>
      <c r="B434" s="3" t="s">
        <v>852</v>
      </c>
      <c r="C434" s="2" t="s">
        <v>853</v>
      </c>
      <c r="D434" s="2" t="s">
        <v>35</v>
      </c>
      <c r="E434" s="3" t="s">
        <v>1335</v>
      </c>
      <c r="G434" s="18"/>
      <c r="K434" s="7" t="str">
        <f t="shared" si="13"/>
        <v>Meter8</v>
      </c>
      <c r="L434" s="7" t="str">
        <f t="shared" si="14"/>
        <v>PF1</v>
      </c>
    </row>
    <row r="435" spans="1:12" x14ac:dyDescent="0.25">
      <c r="A435" s="2">
        <v>424</v>
      </c>
      <c r="B435" s="3" t="s">
        <v>854</v>
      </c>
      <c r="C435" s="2" t="s">
        <v>855</v>
      </c>
      <c r="D435" s="2" t="s">
        <v>35</v>
      </c>
      <c r="E435" s="3" t="s">
        <v>1336</v>
      </c>
      <c r="G435" s="18"/>
      <c r="K435" s="7" t="str">
        <f t="shared" si="13"/>
        <v>Meter8</v>
      </c>
      <c r="L435" s="7" t="str">
        <f t="shared" si="14"/>
        <v>PF2</v>
      </c>
    </row>
    <row r="436" spans="1:12" x14ac:dyDescent="0.25">
      <c r="A436" s="2">
        <v>425</v>
      </c>
      <c r="B436" s="3" t="s">
        <v>856</v>
      </c>
      <c r="C436" s="2" t="s">
        <v>857</v>
      </c>
      <c r="D436" s="2" t="s">
        <v>35</v>
      </c>
      <c r="E436" s="3" t="s">
        <v>1337</v>
      </c>
      <c r="G436" s="18"/>
      <c r="K436" s="7" t="str">
        <f t="shared" si="13"/>
        <v>Meter8</v>
      </c>
      <c r="L436" s="7" t="str">
        <f t="shared" si="14"/>
        <v>PF3</v>
      </c>
    </row>
    <row r="437" spans="1:12" x14ac:dyDescent="0.25">
      <c r="A437" s="2">
        <v>426</v>
      </c>
      <c r="B437" s="3" t="s">
        <v>858</v>
      </c>
      <c r="C437" s="2" t="s">
        <v>859</v>
      </c>
      <c r="D437" s="2" t="s">
        <v>35</v>
      </c>
      <c r="E437" s="3" t="s">
        <v>1338</v>
      </c>
      <c r="G437" s="18"/>
      <c r="K437" s="7" t="str">
        <f t="shared" si="13"/>
        <v>Meter8</v>
      </c>
      <c r="L437" s="7" t="str">
        <f t="shared" si="14"/>
        <v>PF</v>
      </c>
    </row>
    <row r="438" spans="1:12" x14ac:dyDescent="0.25">
      <c r="A438" s="2">
        <v>427</v>
      </c>
      <c r="B438" s="3" t="s">
        <v>860</v>
      </c>
      <c r="C438" s="2" t="s">
        <v>861</v>
      </c>
      <c r="D438" s="2" t="s">
        <v>35</v>
      </c>
      <c r="E438" s="3" t="s">
        <v>1339</v>
      </c>
      <c r="G438" s="18"/>
      <c r="K438" s="7" t="str">
        <f t="shared" si="13"/>
        <v>Meter8</v>
      </c>
      <c r="L438" s="7" t="str">
        <f t="shared" si="14"/>
        <v>freq</v>
      </c>
    </row>
    <row r="439" spans="1:12" x14ac:dyDescent="0.25">
      <c r="A439" s="2">
        <v>428</v>
      </c>
      <c r="B439" s="3" t="s">
        <v>862</v>
      </c>
      <c r="C439" s="2" t="s">
        <v>863</v>
      </c>
      <c r="D439" s="2" t="s">
        <v>35</v>
      </c>
      <c r="E439" s="3" t="s">
        <v>1340</v>
      </c>
      <c r="G439" s="18"/>
      <c r="K439" s="7" t="str">
        <f t="shared" si="13"/>
        <v>Meter8</v>
      </c>
      <c r="L439" s="7" t="str">
        <f t="shared" si="14"/>
        <v>kwh</v>
      </c>
    </row>
    <row r="440" spans="1:12" x14ac:dyDescent="0.25">
      <c r="A440" s="2">
        <v>429</v>
      </c>
      <c r="B440" s="3" t="s">
        <v>864</v>
      </c>
      <c r="C440" s="2" t="s">
        <v>865</v>
      </c>
      <c r="D440" s="2" t="s">
        <v>35</v>
      </c>
      <c r="E440" s="3" t="s">
        <v>1341</v>
      </c>
      <c r="G440" s="18"/>
      <c r="K440" s="7" t="str">
        <f t="shared" si="13"/>
        <v>Meter8</v>
      </c>
      <c r="L440" s="7" t="str">
        <f t="shared" si="14"/>
        <v>kvah</v>
      </c>
    </row>
    <row r="441" spans="1:12" x14ac:dyDescent="0.25">
      <c r="A441" s="2">
        <v>430</v>
      </c>
      <c r="B441" s="3" t="s">
        <v>866</v>
      </c>
      <c r="C441" s="2" t="s">
        <v>867</v>
      </c>
      <c r="D441" s="2" t="s">
        <v>35</v>
      </c>
      <c r="E441" s="3" t="s">
        <v>1342</v>
      </c>
      <c r="G441" s="18"/>
      <c r="K441" s="7" t="str">
        <f t="shared" si="13"/>
        <v>Meter8</v>
      </c>
      <c r="L441" s="7" t="str">
        <f t="shared" si="14"/>
        <v>kvarh</v>
      </c>
    </row>
    <row r="442" spans="1:12" x14ac:dyDescent="0.25">
      <c r="A442" s="2">
        <v>431</v>
      </c>
      <c r="B442" s="3" t="s">
        <v>868</v>
      </c>
      <c r="C442" s="2" t="s">
        <v>869</v>
      </c>
      <c r="D442" s="2" t="s">
        <v>7</v>
      </c>
      <c r="E442" s="3" t="s">
        <v>1343</v>
      </c>
      <c r="G442" s="18"/>
      <c r="K442" s="7" t="str">
        <f t="shared" si="13"/>
        <v>Pump8</v>
      </c>
      <c r="L442" s="7" t="str">
        <f t="shared" si="14"/>
        <v>Ctrl_run_Pump</v>
      </c>
    </row>
    <row r="443" spans="1:12" x14ac:dyDescent="0.25">
      <c r="A443" s="2">
        <v>432</v>
      </c>
      <c r="B443" s="3" t="s">
        <v>870</v>
      </c>
      <c r="C443" s="2" t="s">
        <v>871</v>
      </c>
      <c r="D443" s="2" t="s">
        <v>7</v>
      </c>
      <c r="E443" s="3" t="s">
        <v>1354</v>
      </c>
      <c r="G443" s="18"/>
      <c r="H443" t="s">
        <v>1496</v>
      </c>
      <c r="K443" s="7" t="str">
        <f t="shared" si="13"/>
        <v>Pump8</v>
      </c>
      <c r="L443" s="7" t="str">
        <f t="shared" si="14"/>
        <v>FB_Fault</v>
      </c>
    </row>
    <row r="444" spans="1:12" x14ac:dyDescent="0.25">
      <c r="A444" s="2">
        <v>433</v>
      </c>
      <c r="B444" s="3" t="s">
        <v>872</v>
      </c>
      <c r="C444" s="2" t="s">
        <v>873</v>
      </c>
      <c r="D444" s="2" t="s">
        <v>7</v>
      </c>
      <c r="E444" s="3" t="s">
        <v>1344</v>
      </c>
      <c r="G444" s="18"/>
      <c r="K444" s="7" t="str">
        <f t="shared" si="13"/>
        <v>Pump8</v>
      </c>
      <c r="L444" s="7" t="str">
        <f t="shared" si="14"/>
        <v>Ctrl_PB_Run</v>
      </c>
    </row>
    <row r="445" spans="1:12" x14ac:dyDescent="0.25">
      <c r="A445" s="2">
        <v>434</v>
      </c>
      <c r="B445" s="3" t="s">
        <v>874</v>
      </c>
      <c r="C445" s="2" t="s">
        <v>875</v>
      </c>
      <c r="D445" s="2" t="s">
        <v>7</v>
      </c>
      <c r="E445" s="3" t="s">
        <v>1345</v>
      </c>
      <c r="G445" s="18"/>
      <c r="K445" s="7" t="str">
        <f t="shared" si="13"/>
        <v>Pump8</v>
      </c>
      <c r="L445" s="7" t="str">
        <f t="shared" si="14"/>
        <v>Ctrl_PB_Stop</v>
      </c>
    </row>
    <row r="446" spans="1:12" x14ac:dyDescent="0.25">
      <c r="A446" s="2">
        <v>435</v>
      </c>
      <c r="B446" s="3" t="s">
        <v>876</v>
      </c>
      <c r="C446" s="2" t="s">
        <v>877</v>
      </c>
      <c r="D446" s="2" t="s">
        <v>7</v>
      </c>
      <c r="E446" s="3" t="s">
        <v>1346</v>
      </c>
      <c r="G446" s="18"/>
      <c r="K446" s="7" t="str">
        <f t="shared" si="13"/>
        <v>Pump8</v>
      </c>
      <c r="L446" s="7" t="str">
        <f t="shared" si="14"/>
        <v>Ctrl_PB_RST</v>
      </c>
    </row>
    <row r="447" spans="1:12" x14ac:dyDescent="0.25">
      <c r="A447" s="2">
        <v>436</v>
      </c>
      <c r="B447" s="3" t="s">
        <v>878</v>
      </c>
      <c r="C447" s="2" t="s">
        <v>879</v>
      </c>
      <c r="D447" s="2" t="s">
        <v>24</v>
      </c>
      <c r="E447" s="3" t="s">
        <v>1347</v>
      </c>
      <c r="G447" s="18"/>
      <c r="K447" s="7" t="str">
        <f t="shared" si="13"/>
        <v>Pump8</v>
      </c>
      <c r="L447" s="7" t="str">
        <f t="shared" si="14"/>
        <v>Time_Run_M</v>
      </c>
    </row>
    <row r="448" spans="1:12" x14ac:dyDescent="0.25">
      <c r="A448" s="2">
        <v>437</v>
      </c>
      <c r="B448" s="3" t="s">
        <v>880</v>
      </c>
      <c r="C448" s="2" t="s">
        <v>881</v>
      </c>
      <c r="D448" s="2" t="s">
        <v>24</v>
      </c>
      <c r="E448" s="3" t="s">
        <v>1348</v>
      </c>
      <c r="G448" s="18"/>
      <c r="K448" s="7" t="str">
        <f t="shared" si="13"/>
        <v>Pump8</v>
      </c>
      <c r="L448" s="7" t="str">
        <f t="shared" si="14"/>
        <v>Time_Run_H</v>
      </c>
    </row>
    <row r="449" spans="1:12" x14ac:dyDescent="0.25">
      <c r="A449" s="2">
        <v>438</v>
      </c>
      <c r="B449" s="3" t="s">
        <v>882</v>
      </c>
      <c r="C449" s="2" t="s">
        <v>883</v>
      </c>
      <c r="D449" s="2" t="s">
        <v>24</v>
      </c>
      <c r="E449" s="3" t="s">
        <v>1349</v>
      </c>
      <c r="G449" s="18"/>
      <c r="K449" s="7" t="str">
        <f t="shared" si="13"/>
        <v>Pump8</v>
      </c>
      <c r="L449" s="7" t="str">
        <f t="shared" si="14"/>
        <v>Total_Time_Run_M</v>
      </c>
    </row>
    <row r="450" spans="1:12" x14ac:dyDescent="0.25">
      <c r="A450" s="2">
        <v>439</v>
      </c>
      <c r="B450" s="3" t="s">
        <v>884</v>
      </c>
      <c r="C450" s="2" t="s">
        <v>885</v>
      </c>
      <c r="D450" s="2" t="s">
        <v>24</v>
      </c>
      <c r="E450" s="3" t="s">
        <v>1350</v>
      </c>
      <c r="G450" s="18"/>
      <c r="H450" t="s">
        <v>1407</v>
      </c>
      <c r="K450" s="7" t="str">
        <f t="shared" si="13"/>
        <v>Pump8</v>
      </c>
      <c r="L450" s="7" t="str">
        <f t="shared" si="14"/>
        <v>Total_Time_Run_H</v>
      </c>
    </row>
    <row r="451" spans="1:12" x14ac:dyDescent="0.25">
      <c r="A451" s="2">
        <v>440</v>
      </c>
      <c r="B451" s="3" t="s">
        <v>886</v>
      </c>
      <c r="C451" s="2" t="s">
        <v>887</v>
      </c>
      <c r="D451" s="2" t="s">
        <v>24</v>
      </c>
      <c r="E451" s="3" t="s">
        <v>1351</v>
      </c>
      <c r="G451" s="18"/>
      <c r="K451" s="7" t="str">
        <f t="shared" si="13"/>
        <v>Pump8</v>
      </c>
      <c r="L451" s="7" t="str">
        <f t="shared" si="14"/>
        <v>NumberOfclose</v>
      </c>
    </row>
    <row r="452" spans="1:12" x14ac:dyDescent="0.25">
      <c r="A452" s="2">
        <v>441</v>
      </c>
      <c r="B452" s="3" t="s">
        <v>888</v>
      </c>
      <c r="C452" s="2" t="s">
        <v>889</v>
      </c>
      <c r="D452" s="2" t="s">
        <v>7</v>
      </c>
      <c r="E452" s="3" t="s">
        <v>1355</v>
      </c>
      <c r="G452" s="18" t="s">
        <v>1503</v>
      </c>
      <c r="K452" s="7" t="str">
        <f t="shared" si="13"/>
        <v>Pump9</v>
      </c>
      <c r="L452" s="7" t="str">
        <f t="shared" si="14"/>
        <v>FB_auto</v>
      </c>
    </row>
    <row r="453" spans="1:12" x14ac:dyDescent="0.25">
      <c r="A453" s="2">
        <v>442</v>
      </c>
      <c r="B453" s="3" t="s">
        <v>890</v>
      </c>
      <c r="C453" s="2" t="s">
        <v>891</v>
      </c>
      <c r="D453" s="2" t="s">
        <v>7</v>
      </c>
      <c r="E453" s="3" t="s">
        <v>1306</v>
      </c>
      <c r="G453" s="18"/>
      <c r="H453" t="s">
        <v>1505</v>
      </c>
      <c r="K453" s="7" t="str">
        <f t="shared" si="13"/>
        <v>Pump9</v>
      </c>
      <c r="L453" s="7" t="str">
        <f t="shared" si="14"/>
        <v>FB_Run</v>
      </c>
    </row>
    <row r="454" spans="1:12" x14ac:dyDescent="0.25">
      <c r="A454" s="2">
        <v>443</v>
      </c>
      <c r="B454" s="3" t="s">
        <v>892</v>
      </c>
      <c r="C454" s="2" t="s">
        <v>893</v>
      </c>
      <c r="D454" s="2" t="s">
        <v>7</v>
      </c>
      <c r="E454" s="3" t="s">
        <v>1307</v>
      </c>
      <c r="G454" s="18"/>
      <c r="K454" s="7" t="str">
        <f t="shared" si="13"/>
        <v>Pump9</v>
      </c>
      <c r="L454" s="7" t="str">
        <f t="shared" si="14"/>
        <v>FB_Fault_V</v>
      </c>
    </row>
    <row r="455" spans="1:12" x14ac:dyDescent="0.25">
      <c r="A455" s="2">
        <v>444</v>
      </c>
      <c r="B455" s="3" t="s">
        <v>894</v>
      </c>
      <c r="C455" s="2" t="s">
        <v>895</v>
      </c>
      <c r="D455" s="2" t="s">
        <v>7</v>
      </c>
      <c r="E455" s="3" t="s">
        <v>1307</v>
      </c>
      <c r="G455" s="18"/>
      <c r="K455" s="7" t="str">
        <f t="shared" si="13"/>
        <v>Pump9</v>
      </c>
      <c r="L455" s="7" t="str">
        <f t="shared" si="14"/>
        <v>FB_Fault_SS</v>
      </c>
    </row>
    <row r="456" spans="1:12" x14ac:dyDescent="0.25">
      <c r="A456" s="2">
        <v>445</v>
      </c>
      <c r="B456" s="3" t="s">
        <v>896</v>
      </c>
      <c r="C456" s="2" t="s">
        <v>897</v>
      </c>
      <c r="D456" s="2" t="s">
        <v>7</v>
      </c>
      <c r="E456" s="3" t="s">
        <v>1356</v>
      </c>
      <c r="G456" s="18"/>
      <c r="K456" s="7" t="str">
        <f t="shared" si="13"/>
        <v>Pump9</v>
      </c>
      <c r="L456" s="7" t="str">
        <f t="shared" si="14"/>
        <v>FB_Fault_Temp</v>
      </c>
    </row>
    <row r="457" spans="1:12" x14ac:dyDescent="0.25">
      <c r="A457" s="2">
        <v>446</v>
      </c>
      <c r="B457" s="3" t="s">
        <v>898</v>
      </c>
      <c r="C457" s="2" t="s">
        <v>899</v>
      </c>
      <c r="D457" s="2" t="s">
        <v>7</v>
      </c>
      <c r="E457" s="3" t="s">
        <v>1307</v>
      </c>
      <c r="G457" s="18"/>
      <c r="K457" s="7" t="str">
        <f t="shared" si="13"/>
        <v>Pump9</v>
      </c>
      <c r="L457" s="7" t="str">
        <f t="shared" si="14"/>
        <v>FB_Fault_Curent</v>
      </c>
    </row>
    <row r="458" spans="1:12" x14ac:dyDescent="0.25">
      <c r="A458" s="2">
        <v>447</v>
      </c>
      <c r="B458" s="3" t="s">
        <v>900</v>
      </c>
      <c r="C458" s="2" t="s">
        <v>901</v>
      </c>
      <c r="D458" s="2" t="s">
        <v>7</v>
      </c>
      <c r="E458" s="3" t="s">
        <v>1357</v>
      </c>
      <c r="G458" s="18"/>
      <c r="K458" s="7" t="str">
        <f t="shared" si="13"/>
        <v>Pump9</v>
      </c>
      <c r="L458" s="7" t="str">
        <f t="shared" si="14"/>
        <v>Clock_1m</v>
      </c>
    </row>
    <row r="459" spans="1:12" x14ac:dyDescent="0.25">
      <c r="A459" s="2">
        <v>448</v>
      </c>
      <c r="B459" s="3" t="s">
        <v>902</v>
      </c>
      <c r="C459" s="2" t="s">
        <v>903</v>
      </c>
      <c r="D459" s="2" t="s">
        <v>7</v>
      </c>
      <c r="E459" s="3" t="s">
        <v>1358</v>
      </c>
      <c r="G459" s="18"/>
      <c r="H459" t="s">
        <v>1495</v>
      </c>
      <c r="K459" s="7" t="str">
        <f t="shared" si="13"/>
        <v>Pump9</v>
      </c>
      <c r="L459" s="7" t="str">
        <f t="shared" si="14"/>
        <v>FB_stop</v>
      </c>
    </row>
    <row r="460" spans="1:12" x14ac:dyDescent="0.25">
      <c r="A460" s="2">
        <v>8</v>
      </c>
      <c r="B460" s="12" t="s">
        <v>1441</v>
      </c>
      <c r="C460" s="2" t="s">
        <v>21</v>
      </c>
      <c r="D460" s="2" t="s">
        <v>7</v>
      </c>
      <c r="E460" s="3" t="s">
        <v>1393</v>
      </c>
      <c r="G460" s="18"/>
      <c r="H460" t="s">
        <v>1494</v>
      </c>
      <c r="K460" s="7" t="str">
        <f t="shared" si="13"/>
        <v>Pump9</v>
      </c>
      <c r="L460" s="7" t="str">
        <f t="shared" si="14"/>
        <v>FB_maintenance</v>
      </c>
    </row>
    <row r="461" spans="1:12" x14ac:dyDescent="0.25">
      <c r="A461" s="2">
        <v>449</v>
      </c>
      <c r="B461" s="3" t="s">
        <v>904</v>
      </c>
      <c r="C461" s="2" t="s">
        <v>905</v>
      </c>
      <c r="D461" s="2" t="s">
        <v>24</v>
      </c>
      <c r="E461" s="3" t="s">
        <v>1352</v>
      </c>
      <c r="G461" s="18"/>
      <c r="K461" s="7" t="str">
        <f t="shared" si="13"/>
        <v>Pump9</v>
      </c>
      <c r="L461" s="7" t="str">
        <f t="shared" si="14"/>
        <v>FB_Temp_DEBearing</v>
      </c>
    </row>
    <row r="462" spans="1:12" x14ac:dyDescent="0.25">
      <c r="A462" s="2">
        <v>450</v>
      </c>
      <c r="B462" s="3" t="s">
        <v>906</v>
      </c>
      <c r="C462" s="2" t="s">
        <v>907</v>
      </c>
      <c r="D462" s="2" t="s">
        <v>24</v>
      </c>
      <c r="E462" s="3" t="s">
        <v>1353</v>
      </c>
      <c r="G462" s="18"/>
      <c r="K462" s="7" t="str">
        <f t="shared" ref="K462:K526" si="15">LEFT(B462, SEARCH("_",B462 ) - 1)</f>
        <v>Pump9</v>
      </c>
      <c r="L462" s="7" t="str">
        <f t="shared" si="14"/>
        <v>FB_Temp_NDEBearing</v>
      </c>
    </row>
    <row r="463" spans="1:12" x14ac:dyDescent="0.25">
      <c r="A463" s="2">
        <v>451</v>
      </c>
      <c r="B463" s="3" t="s">
        <v>908</v>
      </c>
      <c r="C463" s="2" t="s">
        <v>909</v>
      </c>
      <c r="D463" s="2" t="s">
        <v>24</v>
      </c>
      <c r="E463" s="3" t="s">
        <v>1308</v>
      </c>
      <c r="G463" s="18"/>
      <c r="K463" s="7" t="str">
        <f t="shared" si="15"/>
        <v>Pump9</v>
      </c>
      <c r="L463" s="7" t="str">
        <f t="shared" si="14"/>
        <v>FB_Temp_PhaseA</v>
      </c>
    </row>
    <row r="464" spans="1:12" x14ac:dyDescent="0.25">
      <c r="A464" s="2">
        <v>452</v>
      </c>
      <c r="B464" s="3" t="s">
        <v>910</v>
      </c>
      <c r="C464" s="2" t="s">
        <v>911</v>
      </c>
      <c r="D464" s="2" t="s">
        <v>24</v>
      </c>
      <c r="E464" s="3" t="s">
        <v>1309</v>
      </c>
      <c r="G464" s="18"/>
      <c r="K464" s="7" t="str">
        <f t="shared" si="15"/>
        <v>Pump9</v>
      </c>
      <c r="L464" s="7" t="str">
        <f t="shared" si="14"/>
        <v>FB_Temp_PhaseB</v>
      </c>
    </row>
    <row r="465" spans="1:12" x14ac:dyDescent="0.25">
      <c r="A465" s="2">
        <v>453</v>
      </c>
      <c r="B465" s="3" t="s">
        <v>912</v>
      </c>
      <c r="C465" s="2" t="s">
        <v>913</v>
      </c>
      <c r="D465" s="2" t="s">
        <v>24</v>
      </c>
      <c r="E465" s="3" t="s">
        <v>1310</v>
      </c>
      <c r="G465" s="18"/>
      <c r="K465" s="7" t="str">
        <f t="shared" si="15"/>
        <v>Pump9</v>
      </c>
      <c r="L465" s="7" t="str">
        <f t="shared" si="14"/>
        <v>FB_Temp_PhaseC</v>
      </c>
    </row>
    <row r="466" spans="1:12" x14ac:dyDescent="0.25">
      <c r="A466" s="2">
        <v>454</v>
      </c>
      <c r="B466" s="3" t="s">
        <v>914</v>
      </c>
      <c r="C466" s="2" t="s">
        <v>915</v>
      </c>
      <c r="D466" s="2" t="s">
        <v>35</v>
      </c>
      <c r="E466" s="3" t="s">
        <v>1315</v>
      </c>
      <c r="G466" s="18"/>
      <c r="K466" s="7" t="str">
        <f t="shared" si="15"/>
        <v>Meter9</v>
      </c>
      <c r="L466" s="7" t="str">
        <f t="shared" si="14"/>
        <v>U1</v>
      </c>
    </row>
    <row r="467" spans="1:12" x14ac:dyDescent="0.25">
      <c r="A467" s="2">
        <v>455</v>
      </c>
      <c r="B467" s="3" t="s">
        <v>916</v>
      </c>
      <c r="C467" s="2" t="s">
        <v>917</v>
      </c>
      <c r="D467" s="2" t="s">
        <v>35</v>
      </c>
      <c r="E467" s="3" t="s">
        <v>1316</v>
      </c>
      <c r="G467" s="18"/>
      <c r="K467" s="7" t="str">
        <f t="shared" si="15"/>
        <v>Meter9</v>
      </c>
      <c r="L467" s="7" t="str">
        <f t="shared" ref="L467:L531" si="16">RIGHT(B467, LEN(B467)-SEARCH("_",B467 ))</f>
        <v>U2</v>
      </c>
    </row>
    <row r="468" spans="1:12" x14ac:dyDescent="0.25">
      <c r="A468" s="2">
        <v>456</v>
      </c>
      <c r="B468" s="3" t="s">
        <v>918</v>
      </c>
      <c r="C468" s="2" t="s">
        <v>919</v>
      </c>
      <c r="D468" s="2" t="s">
        <v>35</v>
      </c>
      <c r="E468" s="3" t="s">
        <v>1317</v>
      </c>
      <c r="G468" s="18"/>
      <c r="K468" s="7" t="str">
        <f t="shared" si="15"/>
        <v>Meter9</v>
      </c>
      <c r="L468" s="7" t="str">
        <f t="shared" si="16"/>
        <v>U3</v>
      </c>
    </row>
    <row r="469" spans="1:12" x14ac:dyDescent="0.25">
      <c r="A469" s="2">
        <v>457</v>
      </c>
      <c r="B469" s="3" t="s">
        <v>920</v>
      </c>
      <c r="C469" s="2" t="s">
        <v>921</v>
      </c>
      <c r="D469" s="2" t="s">
        <v>35</v>
      </c>
      <c r="E469" s="3" t="s">
        <v>1318</v>
      </c>
      <c r="G469" s="18"/>
      <c r="K469" s="7" t="str">
        <f t="shared" si="15"/>
        <v>Meter9</v>
      </c>
      <c r="L469" s="7" t="str">
        <f t="shared" si="16"/>
        <v>U_Ph</v>
      </c>
    </row>
    <row r="470" spans="1:12" x14ac:dyDescent="0.25">
      <c r="A470" s="2">
        <v>458</v>
      </c>
      <c r="B470" s="3" t="s">
        <v>922</v>
      </c>
      <c r="C470" s="2" t="s">
        <v>923</v>
      </c>
      <c r="D470" s="2" t="s">
        <v>35</v>
      </c>
      <c r="E470" s="3" t="s">
        <v>1319</v>
      </c>
      <c r="G470" s="18"/>
      <c r="K470" s="7" t="str">
        <f t="shared" si="15"/>
        <v>Meter9</v>
      </c>
      <c r="L470" s="7" t="str">
        <f t="shared" si="16"/>
        <v>U12</v>
      </c>
    </row>
    <row r="471" spans="1:12" x14ac:dyDescent="0.25">
      <c r="A471" s="2">
        <v>459</v>
      </c>
      <c r="B471" s="3" t="s">
        <v>924</v>
      </c>
      <c r="C471" s="2" t="s">
        <v>925</v>
      </c>
      <c r="D471" s="2" t="s">
        <v>35</v>
      </c>
      <c r="E471" s="3" t="s">
        <v>1320</v>
      </c>
      <c r="G471" s="18"/>
      <c r="K471" s="7" t="str">
        <f t="shared" si="15"/>
        <v>Meter9</v>
      </c>
      <c r="L471" s="7" t="str">
        <f t="shared" si="16"/>
        <v>U23</v>
      </c>
    </row>
    <row r="472" spans="1:12" x14ac:dyDescent="0.25">
      <c r="A472" s="2">
        <v>460</v>
      </c>
      <c r="B472" s="3" t="s">
        <v>926</v>
      </c>
      <c r="C472" s="2" t="s">
        <v>927</v>
      </c>
      <c r="D472" s="2" t="s">
        <v>35</v>
      </c>
      <c r="E472" s="3" t="s">
        <v>1321</v>
      </c>
      <c r="G472" s="18"/>
      <c r="K472" s="7" t="str">
        <f t="shared" si="15"/>
        <v>Meter9</v>
      </c>
      <c r="L472" s="7" t="str">
        <f t="shared" si="16"/>
        <v>U31</v>
      </c>
    </row>
    <row r="473" spans="1:12" x14ac:dyDescent="0.25">
      <c r="A473" s="2">
        <v>461</v>
      </c>
      <c r="B473" s="3" t="s">
        <v>928</v>
      </c>
      <c r="C473" s="2" t="s">
        <v>929</v>
      </c>
      <c r="D473" s="2" t="s">
        <v>35</v>
      </c>
      <c r="E473" s="3" t="s">
        <v>1322</v>
      </c>
      <c r="G473" s="18"/>
      <c r="K473" s="7" t="str">
        <f t="shared" si="15"/>
        <v>Meter9</v>
      </c>
      <c r="L473" s="7" t="str">
        <f t="shared" si="16"/>
        <v>Uline</v>
      </c>
    </row>
    <row r="474" spans="1:12" x14ac:dyDescent="0.25">
      <c r="A474" s="2">
        <v>462</v>
      </c>
      <c r="B474" s="3" t="s">
        <v>930</v>
      </c>
      <c r="C474" s="2" t="s">
        <v>931</v>
      </c>
      <c r="D474" s="2" t="s">
        <v>35</v>
      </c>
      <c r="E474" s="3" t="s">
        <v>1312</v>
      </c>
      <c r="G474" s="18"/>
      <c r="H474" s="7"/>
      <c r="K474" s="7" t="str">
        <f t="shared" si="15"/>
        <v>Meter9</v>
      </c>
      <c r="L474" s="7" t="str">
        <f t="shared" si="16"/>
        <v>I1</v>
      </c>
    </row>
    <row r="475" spans="1:12" x14ac:dyDescent="0.25">
      <c r="A475" s="2">
        <v>463</v>
      </c>
      <c r="B475" s="3" t="s">
        <v>932</v>
      </c>
      <c r="C475" s="2" t="s">
        <v>933</v>
      </c>
      <c r="D475" s="2" t="s">
        <v>35</v>
      </c>
      <c r="E475" s="3" t="s">
        <v>1313</v>
      </c>
      <c r="G475" s="18"/>
      <c r="H475" s="7"/>
      <c r="K475" s="7" t="str">
        <f t="shared" si="15"/>
        <v>Meter9</v>
      </c>
      <c r="L475" s="7" t="str">
        <f t="shared" si="16"/>
        <v>I2</v>
      </c>
    </row>
    <row r="476" spans="1:12" x14ac:dyDescent="0.25">
      <c r="A476" s="2">
        <v>464</v>
      </c>
      <c r="B476" s="3" t="s">
        <v>934</v>
      </c>
      <c r="C476" s="2" t="s">
        <v>935</v>
      </c>
      <c r="D476" s="2" t="s">
        <v>35</v>
      </c>
      <c r="E476" s="3" t="s">
        <v>1314</v>
      </c>
      <c r="G476" s="18"/>
      <c r="H476" s="7"/>
      <c r="K476" s="7" t="str">
        <f t="shared" si="15"/>
        <v>Meter9</v>
      </c>
      <c r="L476" s="7" t="str">
        <f t="shared" si="16"/>
        <v>I3</v>
      </c>
    </row>
    <row r="477" spans="1:12" x14ac:dyDescent="0.25">
      <c r="A477" s="2">
        <v>465</v>
      </c>
      <c r="B477" s="3" t="s">
        <v>936</v>
      </c>
      <c r="C477" s="2" t="s">
        <v>937</v>
      </c>
      <c r="D477" s="2" t="s">
        <v>35</v>
      </c>
      <c r="E477" s="3" t="s">
        <v>1311</v>
      </c>
      <c r="G477" s="18"/>
      <c r="H477" s="3" t="s">
        <v>1311</v>
      </c>
      <c r="K477" s="7" t="str">
        <f t="shared" si="15"/>
        <v>Meter9</v>
      </c>
      <c r="L477" s="7" t="str">
        <f t="shared" si="16"/>
        <v>I_ph</v>
      </c>
    </row>
    <row r="478" spans="1:12" x14ac:dyDescent="0.25">
      <c r="A478" s="2">
        <v>466</v>
      </c>
      <c r="B478" s="3" t="s">
        <v>938</v>
      </c>
      <c r="C478" s="2" t="s">
        <v>939</v>
      </c>
      <c r="D478" s="2" t="s">
        <v>35</v>
      </c>
      <c r="E478" s="3" t="s">
        <v>1323</v>
      </c>
      <c r="G478" s="18"/>
      <c r="K478" s="7" t="str">
        <f t="shared" si="15"/>
        <v>Meter9</v>
      </c>
      <c r="L478" s="7" t="str">
        <f t="shared" si="16"/>
        <v>kw1</v>
      </c>
    </row>
    <row r="479" spans="1:12" x14ac:dyDescent="0.25">
      <c r="A479" s="2">
        <v>467</v>
      </c>
      <c r="B479" s="3" t="s">
        <v>940</v>
      </c>
      <c r="C479" s="2" t="s">
        <v>941</v>
      </c>
      <c r="D479" s="2" t="s">
        <v>35</v>
      </c>
      <c r="E479" s="3" t="s">
        <v>1324</v>
      </c>
      <c r="G479" s="18"/>
      <c r="K479" s="7" t="str">
        <f t="shared" si="15"/>
        <v>Meter9</v>
      </c>
      <c r="L479" s="7" t="str">
        <f t="shared" si="16"/>
        <v>kw2</v>
      </c>
    </row>
    <row r="480" spans="1:12" x14ac:dyDescent="0.25">
      <c r="A480" s="2">
        <v>468</v>
      </c>
      <c r="B480" s="3" t="s">
        <v>942</v>
      </c>
      <c r="C480" s="2" t="s">
        <v>943</v>
      </c>
      <c r="D480" s="2" t="s">
        <v>35</v>
      </c>
      <c r="E480" s="3" t="s">
        <v>1325</v>
      </c>
      <c r="G480" s="18"/>
      <c r="K480" s="7" t="str">
        <f t="shared" si="15"/>
        <v>Meter9</v>
      </c>
      <c r="L480" s="7" t="str">
        <f t="shared" si="16"/>
        <v>kw3</v>
      </c>
    </row>
    <row r="481" spans="1:12" x14ac:dyDescent="0.25">
      <c r="A481" s="2">
        <v>469</v>
      </c>
      <c r="B481" s="3" t="s">
        <v>944</v>
      </c>
      <c r="C481" s="2" t="s">
        <v>945</v>
      </c>
      <c r="D481" s="2" t="s">
        <v>35</v>
      </c>
      <c r="E481" s="3" t="s">
        <v>1326</v>
      </c>
      <c r="G481" s="18"/>
      <c r="K481" s="7" t="str">
        <f t="shared" si="15"/>
        <v>Meter9</v>
      </c>
      <c r="L481" s="7" t="str">
        <f t="shared" si="16"/>
        <v>kva1</v>
      </c>
    </row>
    <row r="482" spans="1:12" x14ac:dyDescent="0.25">
      <c r="A482" s="2">
        <v>470</v>
      </c>
      <c r="B482" s="3" t="s">
        <v>946</v>
      </c>
      <c r="C482" s="2" t="s">
        <v>947</v>
      </c>
      <c r="D482" s="2" t="s">
        <v>35</v>
      </c>
      <c r="E482" s="3" t="s">
        <v>1327</v>
      </c>
      <c r="G482" s="18"/>
      <c r="K482" s="7" t="str">
        <f t="shared" si="15"/>
        <v>Meter9</v>
      </c>
      <c r="L482" s="7" t="str">
        <f t="shared" si="16"/>
        <v>kva2</v>
      </c>
    </row>
    <row r="483" spans="1:12" x14ac:dyDescent="0.25">
      <c r="A483" s="2">
        <v>471</v>
      </c>
      <c r="B483" s="3" t="s">
        <v>948</v>
      </c>
      <c r="C483" s="2" t="s">
        <v>949</v>
      </c>
      <c r="D483" s="2" t="s">
        <v>35</v>
      </c>
      <c r="E483" s="3" t="s">
        <v>1328</v>
      </c>
      <c r="G483" s="18"/>
      <c r="K483" s="7" t="str">
        <f t="shared" si="15"/>
        <v>Meter9</v>
      </c>
      <c r="L483" s="7" t="str">
        <f t="shared" si="16"/>
        <v>kva3</v>
      </c>
    </row>
    <row r="484" spans="1:12" x14ac:dyDescent="0.25">
      <c r="A484" s="2">
        <v>472</v>
      </c>
      <c r="B484" s="3" t="s">
        <v>950</v>
      </c>
      <c r="C484" s="2" t="s">
        <v>951</v>
      </c>
      <c r="D484" s="2" t="s">
        <v>35</v>
      </c>
      <c r="E484" s="3" t="s">
        <v>1329</v>
      </c>
      <c r="G484" s="18"/>
      <c r="K484" s="7" t="str">
        <f t="shared" si="15"/>
        <v>Meter9</v>
      </c>
      <c r="L484" s="7" t="str">
        <f t="shared" si="16"/>
        <v>kvar1</v>
      </c>
    </row>
    <row r="485" spans="1:12" x14ac:dyDescent="0.25">
      <c r="A485" s="2">
        <v>473</v>
      </c>
      <c r="B485" s="3" t="s">
        <v>952</v>
      </c>
      <c r="C485" s="2" t="s">
        <v>953</v>
      </c>
      <c r="D485" s="2" t="s">
        <v>35</v>
      </c>
      <c r="E485" s="3" t="s">
        <v>1330</v>
      </c>
      <c r="G485" s="18"/>
      <c r="K485" s="7" t="str">
        <f t="shared" si="15"/>
        <v>Meter9</v>
      </c>
      <c r="L485" s="7" t="str">
        <f t="shared" si="16"/>
        <v>kvar2</v>
      </c>
    </row>
    <row r="486" spans="1:12" x14ac:dyDescent="0.25">
      <c r="A486" s="2">
        <v>474</v>
      </c>
      <c r="B486" s="3" t="s">
        <v>954</v>
      </c>
      <c r="C486" s="2" t="s">
        <v>955</v>
      </c>
      <c r="D486" s="2" t="s">
        <v>35</v>
      </c>
      <c r="E486" s="3" t="s">
        <v>1331</v>
      </c>
      <c r="G486" s="18"/>
      <c r="K486" s="7" t="str">
        <f t="shared" si="15"/>
        <v>Meter9</v>
      </c>
      <c r="L486" s="7" t="str">
        <f t="shared" si="16"/>
        <v>kvar3</v>
      </c>
    </row>
    <row r="487" spans="1:12" x14ac:dyDescent="0.25">
      <c r="A487" s="2">
        <v>475</v>
      </c>
      <c r="B487" s="3" t="s">
        <v>956</v>
      </c>
      <c r="C487" s="2" t="s">
        <v>957</v>
      </c>
      <c r="D487" s="2" t="s">
        <v>35</v>
      </c>
      <c r="E487" s="3" t="s">
        <v>1332</v>
      </c>
      <c r="G487" s="18"/>
      <c r="K487" s="7" t="str">
        <f t="shared" si="15"/>
        <v>Meter9</v>
      </c>
      <c r="L487" s="7" t="str">
        <f t="shared" si="16"/>
        <v>total_kw</v>
      </c>
    </row>
    <row r="488" spans="1:12" x14ac:dyDescent="0.25">
      <c r="A488" s="2">
        <v>476</v>
      </c>
      <c r="B488" s="3" t="s">
        <v>958</v>
      </c>
      <c r="C488" s="2" t="s">
        <v>959</v>
      </c>
      <c r="D488" s="2" t="s">
        <v>35</v>
      </c>
      <c r="E488" s="3" t="s">
        <v>1333</v>
      </c>
      <c r="G488" s="18"/>
      <c r="K488" s="7" t="str">
        <f t="shared" si="15"/>
        <v>Meter9</v>
      </c>
      <c r="L488" s="7" t="str">
        <f t="shared" si="16"/>
        <v>total_kva</v>
      </c>
    </row>
    <row r="489" spans="1:12" x14ac:dyDescent="0.25">
      <c r="A489" s="2">
        <v>477</v>
      </c>
      <c r="B489" s="3" t="s">
        <v>960</v>
      </c>
      <c r="C489" s="2" t="s">
        <v>961</v>
      </c>
      <c r="D489" s="2" t="s">
        <v>35</v>
      </c>
      <c r="E489" s="3" t="s">
        <v>1334</v>
      </c>
      <c r="G489" s="18"/>
      <c r="K489" s="7" t="str">
        <f t="shared" si="15"/>
        <v>Meter9</v>
      </c>
      <c r="L489" s="7" t="str">
        <f t="shared" si="16"/>
        <v>total_kvar</v>
      </c>
    </row>
    <row r="490" spans="1:12" x14ac:dyDescent="0.25">
      <c r="A490" s="2">
        <v>478</v>
      </c>
      <c r="B490" s="3" t="s">
        <v>962</v>
      </c>
      <c r="C490" s="2" t="s">
        <v>963</v>
      </c>
      <c r="D490" s="2" t="s">
        <v>35</v>
      </c>
      <c r="E490" s="3" t="s">
        <v>1335</v>
      </c>
      <c r="G490" s="18"/>
      <c r="K490" s="7" t="str">
        <f t="shared" si="15"/>
        <v>Meter9</v>
      </c>
      <c r="L490" s="7" t="str">
        <f t="shared" si="16"/>
        <v>PF1</v>
      </c>
    </row>
    <row r="491" spans="1:12" x14ac:dyDescent="0.25">
      <c r="A491" s="2">
        <v>479</v>
      </c>
      <c r="B491" s="3" t="s">
        <v>964</v>
      </c>
      <c r="C491" s="2" t="s">
        <v>965</v>
      </c>
      <c r="D491" s="2" t="s">
        <v>35</v>
      </c>
      <c r="E491" s="3" t="s">
        <v>1336</v>
      </c>
      <c r="G491" s="18"/>
      <c r="K491" s="7" t="str">
        <f t="shared" si="15"/>
        <v>Meter9</v>
      </c>
      <c r="L491" s="7" t="str">
        <f t="shared" si="16"/>
        <v>PF2</v>
      </c>
    </row>
    <row r="492" spans="1:12" x14ac:dyDescent="0.25">
      <c r="A492" s="2">
        <v>480</v>
      </c>
      <c r="B492" s="3" t="s">
        <v>966</v>
      </c>
      <c r="C492" s="2" t="s">
        <v>967</v>
      </c>
      <c r="D492" s="2" t="s">
        <v>35</v>
      </c>
      <c r="E492" s="3" t="s">
        <v>1337</v>
      </c>
      <c r="G492" s="18"/>
      <c r="K492" s="7" t="str">
        <f t="shared" si="15"/>
        <v>Meter9</v>
      </c>
      <c r="L492" s="7" t="str">
        <f t="shared" si="16"/>
        <v>PF3</v>
      </c>
    </row>
    <row r="493" spans="1:12" x14ac:dyDescent="0.25">
      <c r="A493" s="2">
        <v>481</v>
      </c>
      <c r="B493" s="3" t="s">
        <v>968</v>
      </c>
      <c r="C493" s="2" t="s">
        <v>969</v>
      </c>
      <c r="D493" s="2" t="s">
        <v>35</v>
      </c>
      <c r="E493" s="3" t="s">
        <v>1338</v>
      </c>
      <c r="G493" s="18"/>
      <c r="K493" s="7" t="str">
        <f t="shared" si="15"/>
        <v>Meter9</v>
      </c>
      <c r="L493" s="7" t="str">
        <f t="shared" si="16"/>
        <v>PF</v>
      </c>
    </row>
    <row r="494" spans="1:12" x14ac:dyDescent="0.25">
      <c r="A494" s="2">
        <v>482</v>
      </c>
      <c r="B494" s="3" t="s">
        <v>970</v>
      </c>
      <c r="C494" s="2" t="s">
        <v>971</v>
      </c>
      <c r="D494" s="2" t="s">
        <v>35</v>
      </c>
      <c r="E494" s="3" t="s">
        <v>1339</v>
      </c>
      <c r="G494" s="18"/>
      <c r="K494" s="7" t="str">
        <f t="shared" si="15"/>
        <v>Meter9</v>
      </c>
      <c r="L494" s="7" t="str">
        <f t="shared" si="16"/>
        <v>freq</v>
      </c>
    </row>
    <row r="495" spans="1:12" x14ac:dyDescent="0.25">
      <c r="A495" s="2">
        <v>483</v>
      </c>
      <c r="B495" s="3" t="s">
        <v>972</v>
      </c>
      <c r="C495" s="2" t="s">
        <v>973</v>
      </c>
      <c r="D495" s="2" t="s">
        <v>35</v>
      </c>
      <c r="E495" s="3" t="s">
        <v>1340</v>
      </c>
      <c r="G495" s="18"/>
      <c r="K495" s="7" t="str">
        <f t="shared" si="15"/>
        <v>Meter9</v>
      </c>
      <c r="L495" s="7" t="str">
        <f t="shared" si="16"/>
        <v>kwh</v>
      </c>
    </row>
    <row r="496" spans="1:12" x14ac:dyDescent="0.25">
      <c r="A496" s="2">
        <v>484</v>
      </c>
      <c r="B496" s="3" t="s">
        <v>974</v>
      </c>
      <c r="C496" s="2" t="s">
        <v>975</v>
      </c>
      <c r="D496" s="2" t="s">
        <v>35</v>
      </c>
      <c r="E496" s="3" t="s">
        <v>1341</v>
      </c>
      <c r="G496" s="18"/>
      <c r="K496" s="7" t="str">
        <f t="shared" si="15"/>
        <v>Meter9</v>
      </c>
      <c r="L496" s="7" t="str">
        <f t="shared" si="16"/>
        <v>kvah</v>
      </c>
    </row>
    <row r="497" spans="1:12" x14ac:dyDescent="0.25">
      <c r="A497" s="2">
        <v>485</v>
      </c>
      <c r="B497" s="3" t="s">
        <v>976</v>
      </c>
      <c r="C497" s="2" t="s">
        <v>977</v>
      </c>
      <c r="D497" s="2" t="s">
        <v>35</v>
      </c>
      <c r="E497" s="3" t="s">
        <v>1342</v>
      </c>
      <c r="G497" s="18"/>
      <c r="K497" s="7" t="str">
        <f t="shared" si="15"/>
        <v>Meter9</v>
      </c>
      <c r="L497" s="7" t="str">
        <f t="shared" si="16"/>
        <v>kvarh</v>
      </c>
    </row>
    <row r="498" spans="1:12" x14ac:dyDescent="0.25">
      <c r="A498" s="2">
        <v>486</v>
      </c>
      <c r="B498" s="3" t="s">
        <v>978</v>
      </c>
      <c r="C498" s="2" t="s">
        <v>979</v>
      </c>
      <c r="D498" s="2" t="s">
        <v>7</v>
      </c>
      <c r="E498" s="3" t="s">
        <v>1343</v>
      </c>
      <c r="G498" s="18"/>
      <c r="K498" s="7" t="str">
        <f t="shared" si="15"/>
        <v>Pump9</v>
      </c>
      <c r="L498" s="7" t="str">
        <f t="shared" si="16"/>
        <v>Ctrl_run_Pump</v>
      </c>
    </row>
    <row r="499" spans="1:12" x14ac:dyDescent="0.25">
      <c r="A499" s="2">
        <v>487</v>
      </c>
      <c r="B499" s="3" t="s">
        <v>980</v>
      </c>
      <c r="C499" s="2" t="s">
        <v>981</v>
      </c>
      <c r="D499" s="2" t="s">
        <v>7</v>
      </c>
      <c r="E499" s="3" t="s">
        <v>1354</v>
      </c>
      <c r="G499" s="18"/>
      <c r="H499" t="s">
        <v>1496</v>
      </c>
      <c r="K499" s="7" t="str">
        <f t="shared" si="15"/>
        <v>Pump9</v>
      </c>
      <c r="L499" s="7" t="str">
        <f t="shared" si="16"/>
        <v>FB_Fault</v>
      </c>
    </row>
    <row r="500" spans="1:12" x14ac:dyDescent="0.25">
      <c r="A500" s="2">
        <v>488</v>
      </c>
      <c r="B500" s="3" t="s">
        <v>982</v>
      </c>
      <c r="C500" s="2" t="s">
        <v>983</v>
      </c>
      <c r="D500" s="2" t="s">
        <v>7</v>
      </c>
      <c r="E500" s="3" t="s">
        <v>1344</v>
      </c>
      <c r="G500" s="18"/>
      <c r="K500" s="7" t="str">
        <f t="shared" si="15"/>
        <v>Pump9</v>
      </c>
      <c r="L500" s="7" t="str">
        <f t="shared" si="16"/>
        <v>Ctrl_PB_Run</v>
      </c>
    </row>
    <row r="501" spans="1:12" x14ac:dyDescent="0.25">
      <c r="A501" s="2">
        <v>489</v>
      </c>
      <c r="B501" s="3" t="s">
        <v>984</v>
      </c>
      <c r="C501" s="2" t="s">
        <v>985</v>
      </c>
      <c r="D501" s="2" t="s">
        <v>7</v>
      </c>
      <c r="E501" s="3" t="s">
        <v>1345</v>
      </c>
      <c r="G501" s="18"/>
      <c r="K501" s="7" t="str">
        <f t="shared" si="15"/>
        <v>Pump9</v>
      </c>
      <c r="L501" s="7" t="str">
        <f t="shared" si="16"/>
        <v>Ctrl_PB_Stop</v>
      </c>
    </row>
    <row r="502" spans="1:12" x14ac:dyDescent="0.25">
      <c r="A502" s="2">
        <v>490</v>
      </c>
      <c r="B502" s="3" t="s">
        <v>986</v>
      </c>
      <c r="C502" s="2" t="s">
        <v>987</v>
      </c>
      <c r="D502" s="2" t="s">
        <v>7</v>
      </c>
      <c r="E502" s="3" t="s">
        <v>1346</v>
      </c>
      <c r="G502" s="18"/>
      <c r="K502" s="7" t="str">
        <f t="shared" si="15"/>
        <v>Pump9</v>
      </c>
      <c r="L502" s="7" t="str">
        <f t="shared" si="16"/>
        <v>Ctrl_PB_RST</v>
      </c>
    </row>
    <row r="503" spans="1:12" x14ac:dyDescent="0.25">
      <c r="A503" s="2">
        <v>491</v>
      </c>
      <c r="B503" s="3" t="s">
        <v>988</v>
      </c>
      <c r="C503" s="2" t="s">
        <v>989</v>
      </c>
      <c r="D503" s="2" t="s">
        <v>24</v>
      </c>
      <c r="E503" s="3" t="s">
        <v>1347</v>
      </c>
      <c r="G503" s="18"/>
      <c r="K503" s="7" t="str">
        <f t="shared" si="15"/>
        <v>Pump9</v>
      </c>
      <c r="L503" s="7" t="str">
        <f t="shared" si="16"/>
        <v>Time_Run_M</v>
      </c>
    </row>
    <row r="504" spans="1:12" x14ac:dyDescent="0.25">
      <c r="A504" s="2">
        <v>492</v>
      </c>
      <c r="B504" s="3" t="s">
        <v>990</v>
      </c>
      <c r="C504" s="2" t="s">
        <v>991</v>
      </c>
      <c r="D504" s="2" t="s">
        <v>24</v>
      </c>
      <c r="E504" s="3" t="s">
        <v>1348</v>
      </c>
      <c r="G504" s="18"/>
      <c r="K504" s="7" t="str">
        <f t="shared" si="15"/>
        <v>Pump9</v>
      </c>
      <c r="L504" s="7" t="str">
        <f t="shared" si="16"/>
        <v>Time_Run_H</v>
      </c>
    </row>
    <row r="505" spans="1:12" x14ac:dyDescent="0.25">
      <c r="A505" s="2">
        <v>493</v>
      </c>
      <c r="B505" s="3" t="s">
        <v>992</v>
      </c>
      <c r="C505" s="2" t="s">
        <v>993</v>
      </c>
      <c r="D505" s="2" t="s">
        <v>24</v>
      </c>
      <c r="E505" s="3" t="s">
        <v>1349</v>
      </c>
      <c r="G505" s="18"/>
      <c r="K505" s="7" t="str">
        <f t="shared" si="15"/>
        <v>Pump9</v>
      </c>
      <c r="L505" s="7" t="str">
        <f t="shared" si="16"/>
        <v>Total_Time_Run_M</v>
      </c>
    </row>
    <row r="506" spans="1:12" x14ac:dyDescent="0.25">
      <c r="A506" s="2">
        <v>494</v>
      </c>
      <c r="B506" s="3" t="s">
        <v>994</v>
      </c>
      <c r="C506" s="2" t="s">
        <v>995</v>
      </c>
      <c r="D506" s="2" t="s">
        <v>24</v>
      </c>
      <c r="E506" s="3" t="s">
        <v>1350</v>
      </c>
      <c r="G506" s="18"/>
      <c r="H506" t="s">
        <v>1407</v>
      </c>
      <c r="K506" s="7" t="str">
        <f t="shared" si="15"/>
        <v>Pump9</v>
      </c>
      <c r="L506" s="7" t="str">
        <f t="shared" si="16"/>
        <v>Total_Time_Run_H</v>
      </c>
    </row>
    <row r="507" spans="1:12" x14ac:dyDescent="0.25">
      <c r="A507" s="2">
        <v>495</v>
      </c>
      <c r="B507" s="3" t="s">
        <v>996</v>
      </c>
      <c r="C507" s="2" t="s">
        <v>997</v>
      </c>
      <c r="D507" s="2" t="s">
        <v>24</v>
      </c>
      <c r="E507" s="3" t="s">
        <v>1351</v>
      </c>
      <c r="G507" s="18"/>
      <c r="K507" s="7" t="str">
        <f t="shared" si="15"/>
        <v>Pump9</v>
      </c>
      <c r="L507" s="7" t="str">
        <f t="shared" si="16"/>
        <v>NumberOfclose</v>
      </c>
    </row>
    <row r="508" spans="1:12" x14ac:dyDescent="0.25">
      <c r="A508" s="2">
        <v>496</v>
      </c>
      <c r="B508" s="3" t="s">
        <v>998</v>
      </c>
      <c r="C508" s="2" t="s">
        <v>999</v>
      </c>
      <c r="D508" s="2" t="s">
        <v>7</v>
      </c>
      <c r="E508" s="3" t="s">
        <v>1355</v>
      </c>
      <c r="G508" s="18" t="s">
        <v>1504</v>
      </c>
      <c r="K508" s="7" t="str">
        <f t="shared" si="15"/>
        <v>Pump10</v>
      </c>
      <c r="L508" s="7" t="str">
        <f t="shared" si="16"/>
        <v>FB_auto</v>
      </c>
    </row>
    <row r="509" spans="1:12" x14ac:dyDescent="0.25">
      <c r="A509" s="2">
        <v>497</v>
      </c>
      <c r="B509" s="3" t="s">
        <v>1000</v>
      </c>
      <c r="C509" s="2" t="s">
        <v>1001</v>
      </c>
      <c r="D509" s="2" t="s">
        <v>7</v>
      </c>
      <c r="E509" s="3" t="s">
        <v>1306</v>
      </c>
      <c r="G509" s="18"/>
      <c r="H509" t="s">
        <v>1505</v>
      </c>
      <c r="K509" s="7" t="str">
        <f t="shared" si="15"/>
        <v>Pump10</v>
      </c>
      <c r="L509" s="7" t="str">
        <f t="shared" si="16"/>
        <v>FB_Run</v>
      </c>
    </row>
    <row r="510" spans="1:12" x14ac:dyDescent="0.25">
      <c r="A510" s="2">
        <v>498</v>
      </c>
      <c r="B510" s="3" t="s">
        <v>1002</v>
      </c>
      <c r="C510" s="2" t="s">
        <v>1003</v>
      </c>
      <c r="D510" s="2" t="s">
        <v>7</v>
      </c>
      <c r="E510" s="3" t="s">
        <v>1307</v>
      </c>
      <c r="G510" s="18"/>
      <c r="K510" s="7" t="str">
        <f t="shared" si="15"/>
        <v>Pump10</v>
      </c>
      <c r="L510" s="7" t="str">
        <f t="shared" si="16"/>
        <v>FB_Fault_V</v>
      </c>
    </row>
    <row r="511" spans="1:12" x14ac:dyDescent="0.25">
      <c r="A511" s="2">
        <v>499</v>
      </c>
      <c r="B511" s="3" t="s">
        <v>1004</v>
      </c>
      <c r="C511" s="2" t="s">
        <v>1005</v>
      </c>
      <c r="D511" s="2" t="s">
        <v>7</v>
      </c>
      <c r="E511" s="3" t="s">
        <v>1307</v>
      </c>
      <c r="G511" s="18"/>
      <c r="K511" s="7" t="str">
        <f t="shared" si="15"/>
        <v>Pump10</v>
      </c>
      <c r="L511" s="7" t="str">
        <f t="shared" si="16"/>
        <v>FB_Fault_SS</v>
      </c>
    </row>
    <row r="512" spans="1:12" x14ac:dyDescent="0.25">
      <c r="A512" s="2">
        <v>500</v>
      </c>
      <c r="B512" s="3" t="s">
        <v>1006</v>
      </c>
      <c r="C512" s="2" t="s">
        <v>1007</v>
      </c>
      <c r="D512" s="2" t="s">
        <v>7</v>
      </c>
      <c r="E512" s="3" t="s">
        <v>1356</v>
      </c>
      <c r="G512" s="18"/>
      <c r="K512" s="7" t="str">
        <f t="shared" si="15"/>
        <v>Pump10</v>
      </c>
      <c r="L512" s="7" t="str">
        <f t="shared" si="16"/>
        <v>FB_Fault_Temp</v>
      </c>
    </row>
    <row r="513" spans="1:12" x14ac:dyDescent="0.25">
      <c r="A513" s="2">
        <v>501</v>
      </c>
      <c r="B513" s="3" t="s">
        <v>1008</v>
      </c>
      <c r="C513" s="2" t="s">
        <v>1009</v>
      </c>
      <c r="D513" s="2" t="s">
        <v>7</v>
      </c>
      <c r="E513" s="3" t="s">
        <v>1307</v>
      </c>
      <c r="G513" s="18"/>
      <c r="K513" s="7" t="str">
        <f t="shared" si="15"/>
        <v>Pump10</v>
      </c>
      <c r="L513" s="7" t="str">
        <f t="shared" si="16"/>
        <v>FB_Fault_Curent</v>
      </c>
    </row>
    <row r="514" spans="1:12" x14ac:dyDescent="0.25">
      <c r="A514" s="2">
        <v>502</v>
      </c>
      <c r="B514" s="3" t="s">
        <v>1010</v>
      </c>
      <c r="C514" s="2" t="s">
        <v>1011</v>
      </c>
      <c r="D514" s="2" t="s">
        <v>7</v>
      </c>
      <c r="E514" s="3" t="s">
        <v>1357</v>
      </c>
      <c r="G514" s="18"/>
      <c r="K514" s="7" t="str">
        <f t="shared" si="15"/>
        <v>Pump10</v>
      </c>
      <c r="L514" s="7" t="str">
        <f t="shared" si="16"/>
        <v>Clock_1m</v>
      </c>
    </row>
    <row r="515" spans="1:12" x14ac:dyDescent="0.25">
      <c r="A515" s="2">
        <v>503</v>
      </c>
      <c r="B515" s="3" t="s">
        <v>1012</v>
      </c>
      <c r="C515" s="2" t="s">
        <v>1013</v>
      </c>
      <c r="D515" s="2" t="s">
        <v>7</v>
      </c>
      <c r="E515" s="3" t="s">
        <v>1358</v>
      </c>
      <c r="G515" s="18"/>
      <c r="H515" t="s">
        <v>1495</v>
      </c>
      <c r="K515" s="7" t="str">
        <f t="shared" si="15"/>
        <v>Pump10</v>
      </c>
      <c r="L515" s="7" t="str">
        <f t="shared" si="16"/>
        <v>FB_stop</v>
      </c>
    </row>
    <row r="516" spans="1:12" x14ac:dyDescent="0.25">
      <c r="A516" s="2">
        <v>8</v>
      </c>
      <c r="B516" s="12" t="s">
        <v>1442</v>
      </c>
      <c r="C516" s="2" t="s">
        <v>21</v>
      </c>
      <c r="D516" s="2" t="s">
        <v>7</v>
      </c>
      <c r="E516" s="3" t="s">
        <v>1393</v>
      </c>
      <c r="G516" s="18"/>
      <c r="H516" t="s">
        <v>1494</v>
      </c>
      <c r="K516" s="7" t="str">
        <f t="shared" si="15"/>
        <v>Pump10</v>
      </c>
      <c r="L516" s="7" t="str">
        <f t="shared" si="16"/>
        <v>FB_maintenance</v>
      </c>
    </row>
    <row r="517" spans="1:12" x14ac:dyDescent="0.25">
      <c r="A517" s="2">
        <v>504</v>
      </c>
      <c r="B517" s="3" t="s">
        <v>1014</v>
      </c>
      <c r="C517" s="2" t="s">
        <v>1015</v>
      </c>
      <c r="D517" s="2" t="s">
        <v>24</v>
      </c>
      <c r="E517" s="3" t="s">
        <v>1352</v>
      </c>
      <c r="G517" s="18"/>
      <c r="K517" s="7" t="str">
        <f t="shared" si="15"/>
        <v>Pump10</v>
      </c>
      <c r="L517" s="7" t="str">
        <f t="shared" si="16"/>
        <v>FB_Temp_DEBearing</v>
      </c>
    </row>
    <row r="518" spans="1:12" x14ac:dyDescent="0.25">
      <c r="A518" s="2">
        <v>505</v>
      </c>
      <c r="B518" s="3" t="s">
        <v>1016</v>
      </c>
      <c r="C518" s="2" t="s">
        <v>1017</v>
      </c>
      <c r="D518" s="2" t="s">
        <v>24</v>
      </c>
      <c r="E518" s="3" t="s">
        <v>1353</v>
      </c>
      <c r="G518" s="18"/>
      <c r="K518" s="7" t="str">
        <f t="shared" si="15"/>
        <v>Pump10</v>
      </c>
      <c r="L518" s="7" t="str">
        <f t="shared" si="16"/>
        <v>FB_Temp_NDEBearing</v>
      </c>
    </row>
    <row r="519" spans="1:12" x14ac:dyDescent="0.25">
      <c r="A519" s="2">
        <v>506</v>
      </c>
      <c r="B519" s="3" t="s">
        <v>1018</v>
      </c>
      <c r="C519" s="2" t="s">
        <v>1019</v>
      </c>
      <c r="D519" s="2" t="s">
        <v>24</v>
      </c>
      <c r="E519" s="3" t="s">
        <v>1308</v>
      </c>
      <c r="G519" s="18"/>
      <c r="K519" s="7" t="str">
        <f t="shared" si="15"/>
        <v>Pump10</v>
      </c>
      <c r="L519" s="7" t="str">
        <f t="shared" si="16"/>
        <v>FB_Temp_PhaseA</v>
      </c>
    </row>
    <row r="520" spans="1:12" x14ac:dyDescent="0.25">
      <c r="A520" s="2">
        <v>507</v>
      </c>
      <c r="B520" s="3" t="s">
        <v>1020</v>
      </c>
      <c r="C520" s="2" t="s">
        <v>1021</v>
      </c>
      <c r="D520" s="2" t="s">
        <v>24</v>
      </c>
      <c r="E520" s="3" t="s">
        <v>1309</v>
      </c>
      <c r="G520" s="18"/>
      <c r="K520" s="7" t="str">
        <f t="shared" si="15"/>
        <v>Pump10</v>
      </c>
      <c r="L520" s="7" t="str">
        <f t="shared" si="16"/>
        <v>FB_Temp_PhaseB</v>
      </c>
    </row>
    <row r="521" spans="1:12" x14ac:dyDescent="0.25">
      <c r="A521" s="2">
        <v>508</v>
      </c>
      <c r="B521" s="3" t="s">
        <v>1022</v>
      </c>
      <c r="C521" s="2" t="s">
        <v>1023</v>
      </c>
      <c r="D521" s="2" t="s">
        <v>24</v>
      </c>
      <c r="E521" s="3" t="s">
        <v>1310</v>
      </c>
      <c r="G521" s="18"/>
      <c r="K521" s="7" t="str">
        <f t="shared" si="15"/>
        <v>Pump10</v>
      </c>
      <c r="L521" s="7" t="str">
        <f t="shared" si="16"/>
        <v>FB_Temp_PhaseC</v>
      </c>
    </row>
    <row r="522" spans="1:12" x14ac:dyDescent="0.25">
      <c r="A522" s="2">
        <v>509</v>
      </c>
      <c r="B522" s="3" t="s">
        <v>1024</v>
      </c>
      <c r="C522" s="2" t="s">
        <v>1025</v>
      </c>
      <c r="D522" s="2" t="s">
        <v>35</v>
      </c>
      <c r="E522" s="3" t="s">
        <v>1315</v>
      </c>
      <c r="G522" s="18"/>
      <c r="K522" s="7" t="str">
        <f t="shared" si="15"/>
        <v>Meter10</v>
      </c>
      <c r="L522" s="7" t="str">
        <f t="shared" si="16"/>
        <v>U1</v>
      </c>
    </row>
    <row r="523" spans="1:12" x14ac:dyDescent="0.25">
      <c r="A523" s="2">
        <v>510</v>
      </c>
      <c r="B523" s="3" t="s">
        <v>1026</v>
      </c>
      <c r="C523" s="2" t="s">
        <v>1027</v>
      </c>
      <c r="D523" s="2" t="s">
        <v>35</v>
      </c>
      <c r="E523" s="3" t="s">
        <v>1316</v>
      </c>
      <c r="G523" s="18"/>
      <c r="K523" s="7" t="str">
        <f t="shared" si="15"/>
        <v>Meter10</v>
      </c>
      <c r="L523" s="7" t="str">
        <f t="shared" si="16"/>
        <v>U2</v>
      </c>
    </row>
    <row r="524" spans="1:12" x14ac:dyDescent="0.25">
      <c r="A524" s="2">
        <v>511</v>
      </c>
      <c r="B524" s="3" t="s">
        <v>1028</v>
      </c>
      <c r="C524" s="2" t="s">
        <v>1029</v>
      </c>
      <c r="D524" s="2" t="s">
        <v>35</v>
      </c>
      <c r="E524" s="3" t="s">
        <v>1317</v>
      </c>
      <c r="G524" s="18"/>
      <c r="K524" s="7" t="str">
        <f t="shared" si="15"/>
        <v>Meter10</v>
      </c>
      <c r="L524" s="7" t="str">
        <f t="shared" si="16"/>
        <v>U3</v>
      </c>
    </row>
    <row r="525" spans="1:12" x14ac:dyDescent="0.25">
      <c r="A525" s="2">
        <v>512</v>
      </c>
      <c r="B525" s="3" t="s">
        <v>1030</v>
      </c>
      <c r="C525" s="2" t="s">
        <v>1031</v>
      </c>
      <c r="D525" s="2" t="s">
        <v>35</v>
      </c>
      <c r="E525" s="3" t="s">
        <v>1318</v>
      </c>
      <c r="G525" s="18"/>
      <c r="K525" s="7" t="str">
        <f t="shared" si="15"/>
        <v>Meter10</v>
      </c>
      <c r="L525" s="7" t="str">
        <f t="shared" si="16"/>
        <v>U_Ph</v>
      </c>
    </row>
    <row r="526" spans="1:12" x14ac:dyDescent="0.25">
      <c r="A526" s="2">
        <v>513</v>
      </c>
      <c r="B526" s="3" t="s">
        <v>1032</v>
      </c>
      <c r="C526" s="2" t="s">
        <v>1033</v>
      </c>
      <c r="D526" s="2" t="s">
        <v>35</v>
      </c>
      <c r="E526" s="3" t="s">
        <v>1319</v>
      </c>
      <c r="G526" s="18"/>
      <c r="K526" s="7" t="str">
        <f t="shared" si="15"/>
        <v>Meter10</v>
      </c>
      <c r="L526" s="7" t="str">
        <f t="shared" si="16"/>
        <v>U12</v>
      </c>
    </row>
    <row r="527" spans="1:12" x14ac:dyDescent="0.25">
      <c r="A527" s="2">
        <v>514</v>
      </c>
      <c r="B527" s="3" t="s">
        <v>1034</v>
      </c>
      <c r="C527" s="2" t="s">
        <v>1035</v>
      </c>
      <c r="D527" s="2" t="s">
        <v>35</v>
      </c>
      <c r="E527" s="3" t="s">
        <v>1320</v>
      </c>
      <c r="G527" s="18"/>
      <c r="K527" s="7" t="str">
        <f t="shared" ref="K527:K590" si="17">LEFT(B527, SEARCH("_",B527 ) - 1)</f>
        <v>Meter10</v>
      </c>
      <c r="L527" s="7" t="str">
        <f t="shared" si="16"/>
        <v>U23</v>
      </c>
    </row>
    <row r="528" spans="1:12" x14ac:dyDescent="0.25">
      <c r="A528" s="2">
        <v>515</v>
      </c>
      <c r="B528" s="3" t="s">
        <v>1036</v>
      </c>
      <c r="C528" s="2" t="s">
        <v>1037</v>
      </c>
      <c r="D528" s="2" t="s">
        <v>35</v>
      </c>
      <c r="E528" s="3" t="s">
        <v>1321</v>
      </c>
      <c r="G528" s="18"/>
      <c r="K528" s="7" t="str">
        <f t="shared" si="17"/>
        <v>Meter10</v>
      </c>
      <c r="L528" s="7" t="str">
        <f t="shared" si="16"/>
        <v>U31</v>
      </c>
    </row>
    <row r="529" spans="1:12" x14ac:dyDescent="0.25">
      <c r="A529" s="2">
        <v>516</v>
      </c>
      <c r="B529" s="3" t="s">
        <v>1038</v>
      </c>
      <c r="C529" s="2" t="s">
        <v>1039</v>
      </c>
      <c r="D529" s="2" t="s">
        <v>35</v>
      </c>
      <c r="E529" s="3" t="s">
        <v>1322</v>
      </c>
      <c r="G529" s="18"/>
      <c r="K529" s="7" t="str">
        <f t="shared" si="17"/>
        <v>Meter10</v>
      </c>
      <c r="L529" s="7" t="str">
        <f t="shared" si="16"/>
        <v>Uline</v>
      </c>
    </row>
    <row r="530" spans="1:12" x14ac:dyDescent="0.25">
      <c r="A530" s="2">
        <v>517</v>
      </c>
      <c r="B530" s="3" t="s">
        <v>1040</v>
      </c>
      <c r="C530" s="2" t="s">
        <v>1041</v>
      </c>
      <c r="D530" s="2" t="s">
        <v>35</v>
      </c>
      <c r="E530" s="3" t="s">
        <v>1312</v>
      </c>
      <c r="G530" s="18"/>
      <c r="H530" s="7"/>
      <c r="K530" s="7" t="str">
        <f t="shared" si="17"/>
        <v>Meter10</v>
      </c>
      <c r="L530" s="7" t="str">
        <f t="shared" si="16"/>
        <v>I1</v>
      </c>
    </row>
    <row r="531" spans="1:12" x14ac:dyDescent="0.25">
      <c r="A531" s="2">
        <v>518</v>
      </c>
      <c r="B531" s="3" t="s">
        <v>1042</v>
      </c>
      <c r="C531" s="2" t="s">
        <v>1043</v>
      </c>
      <c r="D531" s="2" t="s">
        <v>35</v>
      </c>
      <c r="E531" s="3" t="s">
        <v>1313</v>
      </c>
      <c r="G531" s="18"/>
      <c r="H531" s="7"/>
      <c r="K531" s="7" t="str">
        <f t="shared" si="17"/>
        <v>Meter10</v>
      </c>
      <c r="L531" s="7" t="str">
        <f t="shared" si="16"/>
        <v>I2</v>
      </c>
    </row>
    <row r="532" spans="1:12" x14ac:dyDescent="0.25">
      <c r="A532" s="2">
        <v>519</v>
      </c>
      <c r="B532" s="3" t="s">
        <v>1044</v>
      </c>
      <c r="C532" s="2" t="s">
        <v>1045</v>
      </c>
      <c r="D532" s="2" t="s">
        <v>35</v>
      </c>
      <c r="E532" s="3" t="s">
        <v>1314</v>
      </c>
      <c r="G532" s="18"/>
      <c r="H532" s="7"/>
      <c r="K532" s="7" t="str">
        <f t="shared" si="17"/>
        <v>Meter10</v>
      </c>
      <c r="L532" s="7" t="str">
        <f t="shared" ref="L532:L595" si="18">RIGHT(B532, LEN(B532)-SEARCH("_",B532 ))</f>
        <v>I3</v>
      </c>
    </row>
    <row r="533" spans="1:12" x14ac:dyDescent="0.25">
      <c r="A533" s="2">
        <v>520</v>
      </c>
      <c r="B533" s="3" t="s">
        <v>1046</v>
      </c>
      <c r="C533" s="2" t="s">
        <v>1047</v>
      </c>
      <c r="D533" s="2" t="s">
        <v>35</v>
      </c>
      <c r="E533" s="3" t="s">
        <v>1311</v>
      </c>
      <c r="G533" s="18"/>
      <c r="H533" s="3" t="s">
        <v>1311</v>
      </c>
      <c r="K533" s="7" t="str">
        <f t="shared" si="17"/>
        <v>Meter10</v>
      </c>
      <c r="L533" s="7" t="str">
        <f t="shared" si="18"/>
        <v>I_ph</v>
      </c>
    </row>
    <row r="534" spans="1:12" x14ac:dyDescent="0.25">
      <c r="A534" s="2">
        <v>521</v>
      </c>
      <c r="B534" s="3" t="s">
        <v>1048</v>
      </c>
      <c r="C534" s="2" t="s">
        <v>1049</v>
      </c>
      <c r="D534" s="2" t="s">
        <v>35</v>
      </c>
      <c r="E534" s="3" t="s">
        <v>1323</v>
      </c>
      <c r="G534" s="18"/>
      <c r="K534" s="7" t="str">
        <f t="shared" si="17"/>
        <v>Meter10</v>
      </c>
      <c r="L534" s="7" t="str">
        <f t="shared" si="18"/>
        <v>kw1</v>
      </c>
    </row>
    <row r="535" spans="1:12" x14ac:dyDescent="0.25">
      <c r="A535" s="2">
        <v>522</v>
      </c>
      <c r="B535" s="3" t="s">
        <v>1050</v>
      </c>
      <c r="C535" s="2" t="s">
        <v>1051</v>
      </c>
      <c r="D535" s="2" t="s">
        <v>35</v>
      </c>
      <c r="E535" s="3" t="s">
        <v>1324</v>
      </c>
      <c r="G535" s="18"/>
      <c r="K535" s="7" t="str">
        <f t="shared" si="17"/>
        <v>Meter10</v>
      </c>
      <c r="L535" s="7" t="str">
        <f t="shared" si="18"/>
        <v>kw2</v>
      </c>
    </row>
    <row r="536" spans="1:12" x14ac:dyDescent="0.25">
      <c r="A536" s="2">
        <v>523</v>
      </c>
      <c r="B536" s="3" t="s">
        <v>1052</v>
      </c>
      <c r="C536" s="2" t="s">
        <v>1053</v>
      </c>
      <c r="D536" s="2" t="s">
        <v>35</v>
      </c>
      <c r="E536" s="3" t="s">
        <v>1325</v>
      </c>
      <c r="G536" s="18"/>
      <c r="K536" s="7" t="str">
        <f t="shared" si="17"/>
        <v>Meter10</v>
      </c>
      <c r="L536" s="7" t="str">
        <f t="shared" si="18"/>
        <v>kw3</v>
      </c>
    </row>
    <row r="537" spans="1:12" x14ac:dyDescent="0.25">
      <c r="A537" s="2">
        <v>524</v>
      </c>
      <c r="B537" s="3" t="s">
        <v>1054</v>
      </c>
      <c r="C537" s="2" t="s">
        <v>1055</v>
      </c>
      <c r="D537" s="2" t="s">
        <v>35</v>
      </c>
      <c r="E537" s="3" t="s">
        <v>1326</v>
      </c>
      <c r="G537" s="18"/>
      <c r="K537" s="7" t="str">
        <f t="shared" si="17"/>
        <v>Meter10</v>
      </c>
      <c r="L537" s="7" t="str">
        <f t="shared" si="18"/>
        <v>kva1</v>
      </c>
    </row>
    <row r="538" spans="1:12" x14ac:dyDescent="0.25">
      <c r="A538" s="2">
        <v>525</v>
      </c>
      <c r="B538" s="3" t="s">
        <v>1056</v>
      </c>
      <c r="C538" s="2" t="s">
        <v>1057</v>
      </c>
      <c r="D538" s="2" t="s">
        <v>35</v>
      </c>
      <c r="E538" s="3" t="s">
        <v>1327</v>
      </c>
      <c r="G538" s="18"/>
      <c r="K538" s="7" t="str">
        <f t="shared" si="17"/>
        <v>Meter10</v>
      </c>
      <c r="L538" s="7" t="str">
        <f t="shared" si="18"/>
        <v>kva2</v>
      </c>
    </row>
    <row r="539" spans="1:12" x14ac:dyDescent="0.25">
      <c r="A539" s="2">
        <v>526</v>
      </c>
      <c r="B539" s="3" t="s">
        <v>1058</v>
      </c>
      <c r="C539" s="2" t="s">
        <v>1059</v>
      </c>
      <c r="D539" s="2" t="s">
        <v>35</v>
      </c>
      <c r="E539" s="3" t="s">
        <v>1328</v>
      </c>
      <c r="G539" s="18"/>
      <c r="K539" s="7" t="str">
        <f t="shared" si="17"/>
        <v>Meter10</v>
      </c>
      <c r="L539" s="7" t="str">
        <f t="shared" si="18"/>
        <v>kva3</v>
      </c>
    </row>
    <row r="540" spans="1:12" x14ac:dyDescent="0.25">
      <c r="A540" s="2">
        <v>527</v>
      </c>
      <c r="B540" s="3" t="s">
        <v>1060</v>
      </c>
      <c r="C540" s="2" t="s">
        <v>1061</v>
      </c>
      <c r="D540" s="2" t="s">
        <v>35</v>
      </c>
      <c r="E540" s="3" t="s">
        <v>1329</v>
      </c>
      <c r="G540" s="18"/>
      <c r="K540" s="7" t="str">
        <f t="shared" si="17"/>
        <v>Meter10</v>
      </c>
      <c r="L540" s="7" t="str">
        <f t="shared" si="18"/>
        <v>kvar1</v>
      </c>
    </row>
    <row r="541" spans="1:12" x14ac:dyDescent="0.25">
      <c r="A541" s="2">
        <v>528</v>
      </c>
      <c r="B541" s="3" t="s">
        <v>1062</v>
      </c>
      <c r="C541" s="2" t="s">
        <v>1063</v>
      </c>
      <c r="D541" s="2" t="s">
        <v>35</v>
      </c>
      <c r="E541" s="3" t="s">
        <v>1330</v>
      </c>
      <c r="G541" s="18"/>
      <c r="K541" s="7" t="str">
        <f t="shared" si="17"/>
        <v>Meter10</v>
      </c>
      <c r="L541" s="7" t="str">
        <f t="shared" si="18"/>
        <v>kvar2</v>
      </c>
    </row>
    <row r="542" spans="1:12" x14ac:dyDescent="0.25">
      <c r="A542" s="2">
        <v>529</v>
      </c>
      <c r="B542" s="3" t="s">
        <v>1064</v>
      </c>
      <c r="C542" s="2" t="s">
        <v>1065</v>
      </c>
      <c r="D542" s="2" t="s">
        <v>35</v>
      </c>
      <c r="E542" s="3" t="s">
        <v>1331</v>
      </c>
      <c r="G542" s="18"/>
      <c r="K542" s="7" t="str">
        <f t="shared" si="17"/>
        <v>Meter10</v>
      </c>
      <c r="L542" s="7" t="str">
        <f t="shared" si="18"/>
        <v>kvar3</v>
      </c>
    </row>
    <row r="543" spans="1:12" x14ac:dyDescent="0.25">
      <c r="A543" s="2">
        <v>530</v>
      </c>
      <c r="B543" s="3" t="s">
        <v>1066</v>
      </c>
      <c r="C543" s="2" t="s">
        <v>1067</v>
      </c>
      <c r="D543" s="2" t="s">
        <v>35</v>
      </c>
      <c r="E543" s="3" t="s">
        <v>1332</v>
      </c>
      <c r="G543" s="18"/>
      <c r="K543" s="7" t="str">
        <f t="shared" si="17"/>
        <v>Meter10</v>
      </c>
      <c r="L543" s="7" t="str">
        <f t="shared" si="18"/>
        <v>total_kw</v>
      </c>
    </row>
    <row r="544" spans="1:12" x14ac:dyDescent="0.25">
      <c r="A544" s="2">
        <v>531</v>
      </c>
      <c r="B544" s="3" t="s">
        <v>1068</v>
      </c>
      <c r="C544" s="2" t="s">
        <v>1069</v>
      </c>
      <c r="D544" s="2" t="s">
        <v>35</v>
      </c>
      <c r="E544" s="3" t="s">
        <v>1333</v>
      </c>
      <c r="G544" s="18"/>
      <c r="K544" s="7" t="str">
        <f t="shared" si="17"/>
        <v>Meter10</v>
      </c>
      <c r="L544" s="7" t="str">
        <f t="shared" si="18"/>
        <v>total_kva</v>
      </c>
    </row>
    <row r="545" spans="1:12" x14ac:dyDescent="0.25">
      <c r="A545" s="2">
        <v>532</v>
      </c>
      <c r="B545" s="3" t="s">
        <v>1070</v>
      </c>
      <c r="C545" s="2" t="s">
        <v>1071</v>
      </c>
      <c r="D545" s="2" t="s">
        <v>35</v>
      </c>
      <c r="E545" s="3" t="s">
        <v>1334</v>
      </c>
      <c r="G545" s="18"/>
      <c r="K545" s="7" t="str">
        <f t="shared" si="17"/>
        <v>Meter10</v>
      </c>
      <c r="L545" s="7" t="str">
        <f t="shared" si="18"/>
        <v>total_kvar</v>
      </c>
    </row>
    <row r="546" spans="1:12" x14ac:dyDescent="0.25">
      <c r="A546" s="2">
        <v>533</v>
      </c>
      <c r="B546" s="3" t="s">
        <v>1072</v>
      </c>
      <c r="C546" s="2" t="s">
        <v>1073</v>
      </c>
      <c r="D546" s="2" t="s">
        <v>35</v>
      </c>
      <c r="E546" s="3" t="s">
        <v>1335</v>
      </c>
      <c r="G546" s="18"/>
      <c r="K546" s="7" t="str">
        <f t="shared" si="17"/>
        <v>Meter10</v>
      </c>
      <c r="L546" s="7" t="str">
        <f t="shared" si="18"/>
        <v>PF1</v>
      </c>
    </row>
    <row r="547" spans="1:12" x14ac:dyDescent="0.25">
      <c r="A547" s="2">
        <v>534</v>
      </c>
      <c r="B547" s="3" t="s">
        <v>1074</v>
      </c>
      <c r="C547" s="2" t="s">
        <v>1075</v>
      </c>
      <c r="D547" s="2" t="s">
        <v>35</v>
      </c>
      <c r="E547" s="3" t="s">
        <v>1336</v>
      </c>
      <c r="G547" s="18"/>
      <c r="K547" s="7" t="str">
        <f t="shared" si="17"/>
        <v>Meter10</v>
      </c>
      <c r="L547" s="7" t="str">
        <f t="shared" si="18"/>
        <v>PF2</v>
      </c>
    </row>
    <row r="548" spans="1:12" x14ac:dyDescent="0.25">
      <c r="A548" s="2">
        <v>535</v>
      </c>
      <c r="B548" s="3" t="s">
        <v>1076</v>
      </c>
      <c r="C548" s="2" t="s">
        <v>1077</v>
      </c>
      <c r="D548" s="2" t="s">
        <v>35</v>
      </c>
      <c r="E548" s="3" t="s">
        <v>1337</v>
      </c>
      <c r="G548" s="18"/>
      <c r="K548" s="7" t="str">
        <f t="shared" si="17"/>
        <v>Meter10</v>
      </c>
      <c r="L548" s="7" t="str">
        <f t="shared" si="18"/>
        <v>PF3</v>
      </c>
    </row>
    <row r="549" spans="1:12" x14ac:dyDescent="0.25">
      <c r="A549" s="2">
        <v>536</v>
      </c>
      <c r="B549" s="3" t="s">
        <v>1078</v>
      </c>
      <c r="C549" s="2" t="s">
        <v>1079</v>
      </c>
      <c r="D549" s="2" t="s">
        <v>35</v>
      </c>
      <c r="E549" s="3" t="s">
        <v>1338</v>
      </c>
      <c r="G549" s="18"/>
      <c r="K549" s="7" t="str">
        <f t="shared" si="17"/>
        <v>Meter10</v>
      </c>
      <c r="L549" s="7" t="str">
        <f t="shared" si="18"/>
        <v>PF</v>
      </c>
    </row>
    <row r="550" spans="1:12" x14ac:dyDescent="0.25">
      <c r="A550" s="2">
        <v>537</v>
      </c>
      <c r="B550" s="3" t="s">
        <v>1080</v>
      </c>
      <c r="C550" s="2" t="s">
        <v>1081</v>
      </c>
      <c r="D550" s="2" t="s">
        <v>35</v>
      </c>
      <c r="E550" s="3" t="s">
        <v>1339</v>
      </c>
      <c r="G550" s="18"/>
      <c r="K550" s="7" t="str">
        <f t="shared" si="17"/>
        <v>Meter10</v>
      </c>
      <c r="L550" s="7" t="str">
        <f t="shared" si="18"/>
        <v>freq</v>
      </c>
    </row>
    <row r="551" spans="1:12" x14ac:dyDescent="0.25">
      <c r="A551" s="2">
        <v>538</v>
      </c>
      <c r="B551" s="3" t="s">
        <v>1082</v>
      </c>
      <c r="C551" s="2" t="s">
        <v>1083</v>
      </c>
      <c r="D551" s="2" t="s">
        <v>35</v>
      </c>
      <c r="E551" s="3" t="s">
        <v>1340</v>
      </c>
      <c r="G551" s="18"/>
      <c r="K551" s="7" t="str">
        <f t="shared" si="17"/>
        <v>Meter10</v>
      </c>
      <c r="L551" s="7" t="str">
        <f t="shared" si="18"/>
        <v>kwh</v>
      </c>
    </row>
    <row r="552" spans="1:12" x14ac:dyDescent="0.25">
      <c r="A552" s="2">
        <v>539</v>
      </c>
      <c r="B552" s="3" t="s">
        <v>1084</v>
      </c>
      <c r="C552" s="2" t="s">
        <v>1085</v>
      </c>
      <c r="D552" s="2" t="s">
        <v>35</v>
      </c>
      <c r="E552" s="3" t="s">
        <v>1341</v>
      </c>
      <c r="G552" s="18"/>
      <c r="K552" s="7" t="str">
        <f t="shared" si="17"/>
        <v>Meter10</v>
      </c>
      <c r="L552" s="7" t="str">
        <f t="shared" si="18"/>
        <v>kvah</v>
      </c>
    </row>
    <row r="553" spans="1:12" x14ac:dyDescent="0.25">
      <c r="A553" s="2">
        <v>540</v>
      </c>
      <c r="B553" s="3" t="s">
        <v>1086</v>
      </c>
      <c r="C553" s="2" t="s">
        <v>1087</v>
      </c>
      <c r="D553" s="2" t="s">
        <v>35</v>
      </c>
      <c r="E553" s="3" t="s">
        <v>1342</v>
      </c>
      <c r="G553" s="18"/>
      <c r="K553" s="7" t="str">
        <f t="shared" si="17"/>
        <v>Meter10</v>
      </c>
      <c r="L553" s="7" t="str">
        <f t="shared" si="18"/>
        <v>kvarh</v>
      </c>
    </row>
    <row r="554" spans="1:12" x14ac:dyDescent="0.25">
      <c r="A554" s="2">
        <v>541</v>
      </c>
      <c r="B554" s="3" t="s">
        <v>1088</v>
      </c>
      <c r="C554" s="2" t="s">
        <v>1089</v>
      </c>
      <c r="D554" s="2" t="s">
        <v>7</v>
      </c>
      <c r="E554" s="3" t="s">
        <v>1343</v>
      </c>
      <c r="G554" s="18"/>
      <c r="K554" s="7" t="str">
        <f t="shared" si="17"/>
        <v>Pump10</v>
      </c>
      <c r="L554" s="7" t="str">
        <f t="shared" si="18"/>
        <v>Ctrl_run_Pump</v>
      </c>
    </row>
    <row r="555" spans="1:12" x14ac:dyDescent="0.25">
      <c r="A555" s="2">
        <v>542</v>
      </c>
      <c r="B555" s="3" t="s">
        <v>1090</v>
      </c>
      <c r="C555" s="2" t="s">
        <v>1091</v>
      </c>
      <c r="D555" s="2" t="s">
        <v>7</v>
      </c>
      <c r="E555" s="3" t="s">
        <v>1354</v>
      </c>
      <c r="G555" s="18"/>
      <c r="H555" t="s">
        <v>1496</v>
      </c>
      <c r="K555" s="7" t="str">
        <f t="shared" si="17"/>
        <v>Pump10</v>
      </c>
      <c r="L555" s="7" t="str">
        <f t="shared" si="18"/>
        <v>FB_Fault</v>
      </c>
    </row>
    <row r="556" spans="1:12" x14ac:dyDescent="0.25">
      <c r="A556" s="2">
        <v>543</v>
      </c>
      <c r="B556" s="3" t="s">
        <v>1092</v>
      </c>
      <c r="C556" s="2" t="s">
        <v>1093</v>
      </c>
      <c r="D556" s="2" t="s">
        <v>7</v>
      </c>
      <c r="E556" s="3" t="s">
        <v>1344</v>
      </c>
      <c r="G556" s="18"/>
      <c r="K556" s="7" t="str">
        <f t="shared" si="17"/>
        <v>Pump10</v>
      </c>
      <c r="L556" s="7" t="str">
        <f t="shared" si="18"/>
        <v>Ctrl_PB_Run</v>
      </c>
    </row>
    <row r="557" spans="1:12" x14ac:dyDescent="0.25">
      <c r="A557" s="2">
        <v>544</v>
      </c>
      <c r="B557" s="3" t="s">
        <v>1094</v>
      </c>
      <c r="C557" s="2" t="s">
        <v>1095</v>
      </c>
      <c r="D557" s="2" t="s">
        <v>7</v>
      </c>
      <c r="E557" s="3" t="s">
        <v>1345</v>
      </c>
      <c r="G557" s="18"/>
      <c r="K557" s="7" t="str">
        <f t="shared" si="17"/>
        <v>Pump10</v>
      </c>
      <c r="L557" s="7" t="str">
        <f t="shared" si="18"/>
        <v>Ctrl_PB_Stop</v>
      </c>
    </row>
    <row r="558" spans="1:12" x14ac:dyDescent="0.25">
      <c r="A558" s="2">
        <v>545</v>
      </c>
      <c r="B558" s="3" t="s">
        <v>1096</v>
      </c>
      <c r="C558" s="2" t="s">
        <v>1097</v>
      </c>
      <c r="D558" s="2" t="s">
        <v>7</v>
      </c>
      <c r="E558" s="3" t="s">
        <v>1346</v>
      </c>
      <c r="G558" s="18"/>
      <c r="K558" s="7" t="str">
        <f t="shared" si="17"/>
        <v>Pump10</v>
      </c>
      <c r="L558" s="7" t="str">
        <f t="shared" si="18"/>
        <v>Ctrl_PB_RST</v>
      </c>
    </row>
    <row r="559" spans="1:12" x14ac:dyDescent="0.25">
      <c r="A559" s="2">
        <v>546</v>
      </c>
      <c r="B559" s="3" t="s">
        <v>1098</v>
      </c>
      <c r="C559" s="2" t="s">
        <v>1099</v>
      </c>
      <c r="D559" s="2" t="s">
        <v>24</v>
      </c>
      <c r="E559" s="3" t="s">
        <v>1347</v>
      </c>
      <c r="G559" s="18"/>
      <c r="K559" s="7" t="str">
        <f t="shared" si="17"/>
        <v>Pump10</v>
      </c>
      <c r="L559" s="7" t="str">
        <f t="shared" si="18"/>
        <v>Time_Run_M</v>
      </c>
    </row>
    <row r="560" spans="1:12" x14ac:dyDescent="0.25">
      <c r="A560" s="2">
        <v>547</v>
      </c>
      <c r="B560" s="3" t="s">
        <v>1100</v>
      </c>
      <c r="C560" s="2" t="s">
        <v>1101</v>
      </c>
      <c r="D560" s="2" t="s">
        <v>24</v>
      </c>
      <c r="E560" s="3" t="s">
        <v>1348</v>
      </c>
      <c r="G560" s="18"/>
      <c r="K560" s="7" t="str">
        <f t="shared" si="17"/>
        <v>Pump10</v>
      </c>
      <c r="L560" s="7" t="str">
        <f t="shared" si="18"/>
        <v>Time_Run_H</v>
      </c>
    </row>
    <row r="561" spans="1:12" x14ac:dyDescent="0.25">
      <c r="A561" s="2">
        <v>548</v>
      </c>
      <c r="B561" s="3" t="s">
        <v>1102</v>
      </c>
      <c r="C561" s="2" t="s">
        <v>1103</v>
      </c>
      <c r="D561" s="2" t="s">
        <v>24</v>
      </c>
      <c r="E561" s="3" t="s">
        <v>1349</v>
      </c>
      <c r="G561" s="18"/>
      <c r="K561" s="7" t="str">
        <f t="shared" si="17"/>
        <v>Pump10</v>
      </c>
      <c r="L561" s="7" t="str">
        <f t="shared" si="18"/>
        <v>Total_Time_Run_M</v>
      </c>
    </row>
    <row r="562" spans="1:12" x14ac:dyDescent="0.25">
      <c r="A562" s="2">
        <v>549</v>
      </c>
      <c r="B562" s="3" t="s">
        <v>1104</v>
      </c>
      <c r="C562" s="2" t="s">
        <v>1105</v>
      </c>
      <c r="D562" s="2" t="s">
        <v>24</v>
      </c>
      <c r="E562" s="3" t="s">
        <v>1350</v>
      </c>
      <c r="G562" s="18"/>
      <c r="H562" t="s">
        <v>1407</v>
      </c>
      <c r="K562" s="7" t="str">
        <f t="shared" si="17"/>
        <v>Pump10</v>
      </c>
      <c r="L562" s="7" t="str">
        <f t="shared" si="18"/>
        <v>Total_Time_Run_H</v>
      </c>
    </row>
    <row r="563" spans="1:12" x14ac:dyDescent="0.25">
      <c r="A563" s="2">
        <v>550</v>
      </c>
      <c r="B563" s="3" t="s">
        <v>1106</v>
      </c>
      <c r="C563" s="2" t="s">
        <v>1107</v>
      </c>
      <c r="D563" s="2" t="s">
        <v>24</v>
      </c>
      <c r="E563" s="3" t="s">
        <v>1351</v>
      </c>
      <c r="G563" s="18"/>
      <c r="K563" s="7" t="str">
        <f t="shared" si="17"/>
        <v>Pump10</v>
      </c>
      <c r="L563" s="7" t="str">
        <f t="shared" si="18"/>
        <v>NumberOfclose</v>
      </c>
    </row>
    <row r="564" spans="1:12" ht="15" customHeight="1" x14ac:dyDescent="0.25">
      <c r="A564" s="2">
        <v>551</v>
      </c>
      <c r="B564" s="3" t="s">
        <v>1108</v>
      </c>
      <c r="C564" s="2" t="s">
        <v>1109</v>
      </c>
      <c r="D564" s="2" t="s">
        <v>35</v>
      </c>
      <c r="E564" s="3" t="s">
        <v>1315</v>
      </c>
      <c r="G564" s="19"/>
      <c r="H564" s="16"/>
      <c r="K564" s="7" t="str">
        <f t="shared" si="17"/>
        <v>Meter0</v>
      </c>
      <c r="L564" s="7" t="str">
        <f t="shared" si="18"/>
        <v>U1</v>
      </c>
    </row>
    <row r="565" spans="1:12" x14ac:dyDescent="0.25">
      <c r="A565" s="2">
        <v>552</v>
      </c>
      <c r="B565" s="3" t="s">
        <v>1110</v>
      </c>
      <c r="C565" s="2" t="s">
        <v>1111</v>
      </c>
      <c r="D565" s="2" t="s">
        <v>35</v>
      </c>
      <c r="E565" s="3" t="s">
        <v>1316</v>
      </c>
      <c r="G565" s="19"/>
      <c r="H565" s="16"/>
      <c r="K565" s="7" t="str">
        <f t="shared" si="17"/>
        <v>Meter0</v>
      </c>
      <c r="L565" s="7" t="str">
        <f t="shared" si="18"/>
        <v>U2</v>
      </c>
    </row>
    <row r="566" spans="1:12" x14ac:dyDescent="0.25">
      <c r="A566" s="2">
        <v>553</v>
      </c>
      <c r="B566" s="3" t="s">
        <v>1112</v>
      </c>
      <c r="C566" s="2" t="s">
        <v>1113</v>
      </c>
      <c r="D566" s="2" t="s">
        <v>35</v>
      </c>
      <c r="E566" s="3" t="s">
        <v>1317</v>
      </c>
      <c r="G566" s="19"/>
      <c r="H566" s="16"/>
      <c r="K566" s="7" t="str">
        <f t="shared" si="17"/>
        <v>Meter0</v>
      </c>
      <c r="L566" s="7" t="str">
        <f t="shared" si="18"/>
        <v>U3</v>
      </c>
    </row>
    <row r="567" spans="1:12" x14ac:dyDescent="0.25">
      <c r="A567" s="2">
        <v>554</v>
      </c>
      <c r="B567" s="3" t="s">
        <v>1114</v>
      </c>
      <c r="C567" s="2" t="s">
        <v>1115</v>
      </c>
      <c r="D567" s="2" t="s">
        <v>35</v>
      </c>
      <c r="E567" s="3" t="s">
        <v>1318</v>
      </c>
      <c r="G567" s="19"/>
      <c r="H567" s="16"/>
      <c r="K567" s="7" t="str">
        <f t="shared" si="17"/>
        <v>Meter0</v>
      </c>
      <c r="L567" s="7" t="str">
        <f t="shared" si="18"/>
        <v>U_Ph</v>
      </c>
    </row>
    <row r="568" spans="1:12" x14ac:dyDescent="0.25">
      <c r="A568" s="2">
        <v>555</v>
      </c>
      <c r="B568" s="3" t="s">
        <v>1116</v>
      </c>
      <c r="C568" s="2" t="s">
        <v>1117</v>
      </c>
      <c r="D568" s="2" t="s">
        <v>35</v>
      </c>
      <c r="E568" s="3" t="s">
        <v>1319</v>
      </c>
      <c r="G568" s="19"/>
      <c r="H568" s="3"/>
      <c r="K568" s="7" t="str">
        <f t="shared" si="17"/>
        <v>Meter0</v>
      </c>
      <c r="L568" s="7" t="str">
        <f t="shared" si="18"/>
        <v>U12</v>
      </c>
    </row>
    <row r="569" spans="1:12" x14ac:dyDescent="0.25">
      <c r="A569" s="2">
        <v>556</v>
      </c>
      <c r="B569" s="3" t="s">
        <v>1118</v>
      </c>
      <c r="C569" s="2" t="s">
        <v>1119</v>
      </c>
      <c r="D569" s="2" t="s">
        <v>35</v>
      </c>
      <c r="E569" s="3" t="s">
        <v>1320</v>
      </c>
      <c r="G569" s="19"/>
      <c r="H569" s="3"/>
      <c r="K569" s="7" t="str">
        <f t="shared" si="17"/>
        <v>Meter0</v>
      </c>
      <c r="L569" s="7" t="str">
        <f t="shared" si="18"/>
        <v>U23</v>
      </c>
    </row>
    <row r="570" spans="1:12" x14ac:dyDescent="0.25">
      <c r="A570" s="2">
        <v>557</v>
      </c>
      <c r="B570" s="3" t="s">
        <v>1120</v>
      </c>
      <c r="C570" s="2" t="s">
        <v>1121</v>
      </c>
      <c r="D570" s="2" t="s">
        <v>35</v>
      </c>
      <c r="E570" s="3" t="s">
        <v>1321</v>
      </c>
      <c r="G570" s="19"/>
      <c r="H570" s="3"/>
      <c r="K570" s="7" t="str">
        <f t="shared" si="17"/>
        <v>Meter0</v>
      </c>
      <c r="L570" s="7" t="str">
        <f t="shared" si="18"/>
        <v>U31</v>
      </c>
    </row>
    <row r="571" spans="1:12" x14ac:dyDescent="0.25">
      <c r="A571" s="2">
        <v>558</v>
      </c>
      <c r="B571" s="3" t="s">
        <v>1122</v>
      </c>
      <c r="C571" s="2" t="s">
        <v>1123</v>
      </c>
      <c r="D571" s="2" t="s">
        <v>35</v>
      </c>
      <c r="E571" s="3" t="s">
        <v>1322</v>
      </c>
      <c r="G571" s="19"/>
      <c r="H571" s="16"/>
      <c r="K571" s="7" t="str">
        <f t="shared" si="17"/>
        <v>Meter0</v>
      </c>
      <c r="L571" s="7" t="str">
        <f t="shared" si="18"/>
        <v>Uline</v>
      </c>
    </row>
    <row r="572" spans="1:12" x14ac:dyDescent="0.25">
      <c r="A572" s="2">
        <v>559</v>
      </c>
      <c r="B572" s="3" t="s">
        <v>1124</v>
      </c>
      <c r="C572" s="2" t="s">
        <v>1125</v>
      </c>
      <c r="D572" s="2" t="s">
        <v>35</v>
      </c>
      <c r="E572" s="3" t="s">
        <v>1312</v>
      </c>
      <c r="G572" s="19"/>
      <c r="H572" s="16"/>
      <c r="K572" s="7" t="str">
        <f t="shared" si="17"/>
        <v>Meter0</v>
      </c>
      <c r="L572" s="7" t="str">
        <f t="shared" si="18"/>
        <v>I1</v>
      </c>
    </row>
    <row r="573" spans="1:12" x14ac:dyDescent="0.25">
      <c r="A573" s="2">
        <v>560</v>
      </c>
      <c r="B573" s="3" t="s">
        <v>1126</v>
      </c>
      <c r="C573" s="2" t="s">
        <v>1127</v>
      </c>
      <c r="D573" s="2" t="s">
        <v>35</v>
      </c>
      <c r="E573" s="3" t="s">
        <v>1313</v>
      </c>
      <c r="G573" s="19"/>
      <c r="H573" s="16"/>
      <c r="K573" s="7" t="str">
        <f t="shared" si="17"/>
        <v>Meter0</v>
      </c>
      <c r="L573" s="7" t="str">
        <f t="shared" si="18"/>
        <v>I2</v>
      </c>
    </row>
    <row r="574" spans="1:12" x14ac:dyDescent="0.25">
      <c r="A574" s="2">
        <v>561</v>
      </c>
      <c r="B574" s="3" t="s">
        <v>1128</v>
      </c>
      <c r="C574" s="2" t="s">
        <v>1129</v>
      </c>
      <c r="D574" s="2" t="s">
        <v>35</v>
      </c>
      <c r="E574" s="3" t="s">
        <v>1314</v>
      </c>
      <c r="G574" s="19"/>
      <c r="H574" s="16"/>
      <c r="K574" s="7" t="str">
        <f t="shared" si="17"/>
        <v>Meter0</v>
      </c>
      <c r="L574" s="7" t="str">
        <f t="shared" si="18"/>
        <v>I3</v>
      </c>
    </row>
    <row r="575" spans="1:12" x14ac:dyDescent="0.25">
      <c r="A575" s="2">
        <v>562</v>
      </c>
      <c r="B575" s="3" t="s">
        <v>1130</v>
      </c>
      <c r="C575" s="2" t="s">
        <v>1131</v>
      </c>
      <c r="D575" s="2" t="s">
        <v>35</v>
      </c>
      <c r="E575" s="3" t="s">
        <v>1311</v>
      </c>
      <c r="G575" s="19"/>
      <c r="H575" s="3"/>
      <c r="K575" s="7" t="str">
        <f t="shared" si="17"/>
        <v>Meter0</v>
      </c>
      <c r="L575" s="7" t="str">
        <f t="shared" si="18"/>
        <v>I_ph</v>
      </c>
    </row>
    <row r="576" spans="1:12" x14ac:dyDescent="0.25">
      <c r="A576" s="2">
        <v>563</v>
      </c>
      <c r="B576" s="3" t="s">
        <v>1132</v>
      </c>
      <c r="C576" s="2" t="s">
        <v>1133</v>
      </c>
      <c r="D576" s="2" t="s">
        <v>35</v>
      </c>
      <c r="E576" s="3" t="s">
        <v>1323</v>
      </c>
      <c r="G576" s="19"/>
      <c r="H576" s="16"/>
      <c r="K576" s="7" t="str">
        <f t="shared" si="17"/>
        <v>Meter0</v>
      </c>
      <c r="L576" s="7" t="str">
        <f t="shared" si="18"/>
        <v>kw1</v>
      </c>
    </row>
    <row r="577" spans="1:12" x14ac:dyDescent="0.25">
      <c r="A577" s="2">
        <v>564</v>
      </c>
      <c r="B577" s="3" t="s">
        <v>1134</v>
      </c>
      <c r="C577" s="2" t="s">
        <v>1135</v>
      </c>
      <c r="D577" s="2" t="s">
        <v>35</v>
      </c>
      <c r="E577" s="3" t="s">
        <v>1324</v>
      </c>
      <c r="G577" s="19"/>
      <c r="H577" s="16"/>
      <c r="K577" s="7" t="str">
        <f t="shared" si="17"/>
        <v>Meter0</v>
      </c>
      <c r="L577" s="7" t="str">
        <f t="shared" si="18"/>
        <v>kw2</v>
      </c>
    </row>
    <row r="578" spans="1:12" x14ac:dyDescent="0.25">
      <c r="A578" s="2">
        <v>565</v>
      </c>
      <c r="B578" s="3" t="s">
        <v>1136</v>
      </c>
      <c r="C578" s="2" t="s">
        <v>1137</v>
      </c>
      <c r="D578" s="2" t="s">
        <v>35</v>
      </c>
      <c r="E578" s="3" t="s">
        <v>1325</v>
      </c>
      <c r="G578" s="19"/>
      <c r="H578" s="16"/>
      <c r="K578" s="7" t="str">
        <f t="shared" si="17"/>
        <v>Meter0</v>
      </c>
      <c r="L578" s="7" t="str">
        <f t="shared" si="18"/>
        <v>kw3</v>
      </c>
    </row>
    <row r="579" spans="1:12" x14ac:dyDescent="0.25">
      <c r="A579" s="2">
        <v>566</v>
      </c>
      <c r="B579" s="3" t="s">
        <v>1138</v>
      </c>
      <c r="C579" s="2" t="s">
        <v>1139</v>
      </c>
      <c r="D579" s="2" t="s">
        <v>35</v>
      </c>
      <c r="E579" s="3" t="s">
        <v>1326</v>
      </c>
      <c r="G579" s="19"/>
      <c r="H579" s="16"/>
      <c r="K579" s="7" t="str">
        <f t="shared" si="17"/>
        <v>Meter0</v>
      </c>
      <c r="L579" s="7" t="str">
        <f t="shared" si="18"/>
        <v>kva1</v>
      </c>
    </row>
    <row r="580" spans="1:12" x14ac:dyDescent="0.25">
      <c r="A580" s="2">
        <v>567</v>
      </c>
      <c r="B580" s="3" t="s">
        <v>1140</v>
      </c>
      <c r="C580" s="2" t="s">
        <v>1141</v>
      </c>
      <c r="D580" s="2" t="s">
        <v>35</v>
      </c>
      <c r="E580" s="3" t="s">
        <v>1327</v>
      </c>
      <c r="G580" s="19"/>
      <c r="H580" s="16"/>
      <c r="K580" s="7" t="str">
        <f t="shared" si="17"/>
        <v>Meter0</v>
      </c>
      <c r="L580" s="7" t="str">
        <f t="shared" si="18"/>
        <v>kva2</v>
      </c>
    </row>
    <row r="581" spans="1:12" x14ac:dyDescent="0.25">
      <c r="A581" s="2">
        <v>568</v>
      </c>
      <c r="B581" s="3" t="s">
        <v>1142</v>
      </c>
      <c r="C581" s="2" t="s">
        <v>1143</v>
      </c>
      <c r="D581" s="2" t="s">
        <v>35</v>
      </c>
      <c r="E581" s="3" t="s">
        <v>1328</v>
      </c>
      <c r="G581" s="19"/>
      <c r="H581" s="16"/>
      <c r="K581" s="7" t="str">
        <f t="shared" si="17"/>
        <v>Meter0</v>
      </c>
      <c r="L581" s="7" t="str">
        <f t="shared" si="18"/>
        <v>kva3</v>
      </c>
    </row>
    <row r="582" spans="1:12" x14ac:dyDescent="0.25">
      <c r="A582" s="2">
        <v>569</v>
      </c>
      <c r="B582" s="3" t="s">
        <v>1144</v>
      </c>
      <c r="C582" s="2" t="s">
        <v>1145</v>
      </c>
      <c r="D582" s="2" t="s">
        <v>35</v>
      </c>
      <c r="E582" s="3" t="s">
        <v>1329</v>
      </c>
      <c r="G582" s="19"/>
      <c r="H582" s="16"/>
      <c r="K582" s="7" t="str">
        <f t="shared" si="17"/>
        <v>Meter0</v>
      </c>
      <c r="L582" s="7" t="str">
        <f t="shared" si="18"/>
        <v>kvar1</v>
      </c>
    </row>
    <row r="583" spans="1:12" x14ac:dyDescent="0.25">
      <c r="A583" s="2">
        <v>570</v>
      </c>
      <c r="B583" s="3" t="s">
        <v>1146</v>
      </c>
      <c r="C583" s="2" t="s">
        <v>1147</v>
      </c>
      <c r="D583" s="2" t="s">
        <v>35</v>
      </c>
      <c r="E583" s="3" t="s">
        <v>1330</v>
      </c>
      <c r="G583" s="19"/>
      <c r="H583" s="16"/>
      <c r="K583" s="7" t="str">
        <f t="shared" si="17"/>
        <v>Meter0</v>
      </c>
      <c r="L583" s="7" t="str">
        <f t="shared" si="18"/>
        <v>kvar2</v>
      </c>
    </row>
    <row r="584" spans="1:12" x14ac:dyDescent="0.25">
      <c r="A584" s="2">
        <v>571</v>
      </c>
      <c r="B584" s="3" t="s">
        <v>1148</v>
      </c>
      <c r="C584" s="2" t="s">
        <v>1149</v>
      </c>
      <c r="D584" s="2" t="s">
        <v>35</v>
      </c>
      <c r="E584" s="3" t="s">
        <v>1331</v>
      </c>
      <c r="G584" s="19"/>
      <c r="H584" s="16"/>
      <c r="K584" s="7" t="str">
        <f t="shared" si="17"/>
        <v>Meter0</v>
      </c>
      <c r="L584" s="7" t="str">
        <f t="shared" si="18"/>
        <v>kvar3</v>
      </c>
    </row>
    <row r="585" spans="1:12" x14ac:dyDescent="0.25">
      <c r="A585" s="2">
        <v>572</v>
      </c>
      <c r="B585" s="3" t="s">
        <v>1150</v>
      </c>
      <c r="C585" s="2" t="s">
        <v>1151</v>
      </c>
      <c r="D585" s="2" t="s">
        <v>35</v>
      </c>
      <c r="E585" s="3" t="s">
        <v>1332</v>
      </c>
      <c r="G585" s="19"/>
      <c r="H585" s="3"/>
      <c r="K585" s="7" t="str">
        <f t="shared" si="17"/>
        <v>Meter0</v>
      </c>
      <c r="L585" s="7" t="str">
        <f t="shared" si="18"/>
        <v>total_kw</v>
      </c>
    </row>
    <row r="586" spans="1:12" x14ac:dyDescent="0.25">
      <c r="A586" s="2">
        <v>573</v>
      </c>
      <c r="B586" s="3" t="s">
        <v>1152</v>
      </c>
      <c r="C586" s="2" t="s">
        <v>1153</v>
      </c>
      <c r="D586" s="2" t="s">
        <v>35</v>
      </c>
      <c r="E586" s="3" t="s">
        <v>1333</v>
      </c>
      <c r="G586" s="19"/>
      <c r="H586" s="16"/>
      <c r="K586" s="7" t="str">
        <f t="shared" si="17"/>
        <v>Meter0</v>
      </c>
      <c r="L586" s="7" t="str">
        <f t="shared" si="18"/>
        <v>total_kva</v>
      </c>
    </row>
    <row r="587" spans="1:12" x14ac:dyDescent="0.25">
      <c r="A587" s="2">
        <v>574</v>
      </c>
      <c r="B587" s="3" t="s">
        <v>1154</v>
      </c>
      <c r="C587" s="2" t="s">
        <v>1155</v>
      </c>
      <c r="D587" s="2" t="s">
        <v>35</v>
      </c>
      <c r="E587" s="3" t="s">
        <v>1334</v>
      </c>
      <c r="G587" s="19"/>
      <c r="H587" s="16"/>
      <c r="K587" s="7" t="str">
        <f t="shared" si="17"/>
        <v>Meter0</v>
      </c>
      <c r="L587" s="7" t="str">
        <f t="shared" si="18"/>
        <v>total_kvar</v>
      </c>
    </row>
    <row r="588" spans="1:12" x14ac:dyDescent="0.25">
      <c r="A588" s="2">
        <v>575</v>
      </c>
      <c r="B588" s="3" t="s">
        <v>1156</v>
      </c>
      <c r="C588" s="2" t="s">
        <v>1157</v>
      </c>
      <c r="D588" s="2" t="s">
        <v>35</v>
      </c>
      <c r="E588" s="3" t="s">
        <v>1335</v>
      </c>
      <c r="G588" s="19"/>
      <c r="H588" s="16"/>
      <c r="K588" s="7" t="str">
        <f t="shared" si="17"/>
        <v>Meter0</v>
      </c>
      <c r="L588" s="7" t="str">
        <f t="shared" si="18"/>
        <v>PF1</v>
      </c>
    </row>
    <row r="589" spans="1:12" x14ac:dyDescent="0.25">
      <c r="A589" s="2">
        <v>576</v>
      </c>
      <c r="B589" s="3" t="s">
        <v>1158</v>
      </c>
      <c r="C589" s="2" t="s">
        <v>1159</v>
      </c>
      <c r="D589" s="2" t="s">
        <v>35</v>
      </c>
      <c r="E589" s="3" t="s">
        <v>1336</v>
      </c>
      <c r="G589" s="19"/>
      <c r="H589" s="16"/>
      <c r="K589" s="7" t="str">
        <f t="shared" si="17"/>
        <v>Meter0</v>
      </c>
      <c r="L589" s="7" t="str">
        <f t="shared" si="18"/>
        <v>PF2</v>
      </c>
    </row>
    <row r="590" spans="1:12" x14ac:dyDescent="0.25">
      <c r="A590" s="2">
        <v>577</v>
      </c>
      <c r="B590" s="3" t="s">
        <v>1160</v>
      </c>
      <c r="C590" s="2" t="s">
        <v>1161</v>
      </c>
      <c r="D590" s="2" t="s">
        <v>35</v>
      </c>
      <c r="E590" s="3" t="s">
        <v>1337</v>
      </c>
      <c r="G590" s="19"/>
      <c r="H590" s="16"/>
      <c r="K590" s="7" t="str">
        <f t="shared" si="17"/>
        <v>Meter0</v>
      </c>
      <c r="L590" s="7" t="str">
        <f t="shared" si="18"/>
        <v>PF3</v>
      </c>
    </row>
    <row r="591" spans="1:12" x14ac:dyDescent="0.25">
      <c r="A591" s="2">
        <v>578</v>
      </c>
      <c r="B591" s="3" t="s">
        <v>1162</v>
      </c>
      <c r="C591" s="2" t="s">
        <v>1163</v>
      </c>
      <c r="D591" s="2" t="s">
        <v>35</v>
      </c>
      <c r="E591" s="3" t="s">
        <v>1338</v>
      </c>
      <c r="G591" s="19"/>
      <c r="H591" s="3"/>
      <c r="K591" s="7" t="str">
        <f t="shared" ref="K591:K657" si="19">LEFT(B591, SEARCH("_",B591 ) - 1)</f>
        <v>Meter0</v>
      </c>
      <c r="L591" s="7" t="str">
        <f t="shared" si="18"/>
        <v>PF</v>
      </c>
    </row>
    <row r="592" spans="1:12" x14ac:dyDescent="0.25">
      <c r="A592" s="2">
        <v>579</v>
      </c>
      <c r="B592" s="3" t="s">
        <v>1164</v>
      </c>
      <c r="C592" s="2" t="s">
        <v>1165</v>
      </c>
      <c r="D592" s="2" t="s">
        <v>35</v>
      </c>
      <c r="E592" s="3" t="s">
        <v>1339</v>
      </c>
      <c r="G592" s="19"/>
      <c r="H592" s="3"/>
      <c r="K592" s="7" t="str">
        <f t="shared" si="19"/>
        <v>Meter0</v>
      </c>
      <c r="L592" s="7" t="str">
        <f t="shared" si="18"/>
        <v>freq</v>
      </c>
    </row>
    <row r="593" spans="1:12" x14ac:dyDescent="0.25">
      <c r="A593" s="2">
        <v>580</v>
      </c>
      <c r="B593" s="3" t="s">
        <v>1166</v>
      </c>
      <c r="C593" s="2" t="s">
        <v>1167</v>
      </c>
      <c r="D593" s="2" t="s">
        <v>35</v>
      </c>
      <c r="E593" s="3" t="s">
        <v>1340</v>
      </c>
      <c r="G593" s="19"/>
      <c r="H593" s="3"/>
      <c r="K593" s="7" t="str">
        <f t="shared" si="19"/>
        <v>Meter0</v>
      </c>
      <c r="L593" s="7" t="str">
        <f t="shared" si="18"/>
        <v>kwh</v>
      </c>
    </row>
    <row r="594" spans="1:12" x14ac:dyDescent="0.25">
      <c r="A594" s="2">
        <v>581</v>
      </c>
      <c r="B594" s="3" t="s">
        <v>1168</v>
      </c>
      <c r="C594" s="2" t="s">
        <v>1169</v>
      </c>
      <c r="D594" s="2" t="s">
        <v>35</v>
      </c>
      <c r="E594" s="3" t="s">
        <v>1341</v>
      </c>
      <c r="G594" s="19"/>
      <c r="H594" s="16"/>
      <c r="K594" s="7" t="str">
        <f t="shared" si="19"/>
        <v>Meter0</v>
      </c>
      <c r="L594" s="7" t="str">
        <f t="shared" si="18"/>
        <v>kvah</v>
      </c>
    </row>
    <row r="595" spans="1:12" x14ac:dyDescent="0.25">
      <c r="A595" s="2">
        <v>582</v>
      </c>
      <c r="B595" s="3" t="s">
        <v>1170</v>
      </c>
      <c r="C595" s="2" t="s">
        <v>1171</v>
      </c>
      <c r="D595" s="2" t="s">
        <v>35</v>
      </c>
      <c r="E595" s="3" t="s">
        <v>1342</v>
      </c>
      <c r="G595" s="19"/>
      <c r="H595" s="16"/>
      <c r="K595" s="7" t="str">
        <f t="shared" si="19"/>
        <v>Meter0</v>
      </c>
      <c r="L595" s="7" t="str">
        <f t="shared" si="18"/>
        <v>kvarh</v>
      </c>
    </row>
    <row r="596" spans="1:12" x14ac:dyDescent="0.25">
      <c r="A596" s="2">
        <v>583</v>
      </c>
      <c r="B596" s="3" t="s">
        <v>1409</v>
      </c>
      <c r="C596" s="2" t="s">
        <v>1173</v>
      </c>
      <c r="D596" s="2" t="s">
        <v>7</v>
      </c>
      <c r="E596" s="3" t="s">
        <v>1359</v>
      </c>
      <c r="G596" s="18" t="s">
        <v>1506</v>
      </c>
      <c r="H596" t="s">
        <v>1508</v>
      </c>
      <c r="K596" s="7" t="str">
        <f>LEFT(B596, SEARCH("_",B596 ) - 1)</f>
        <v>PrimingPump1</v>
      </c>
      <c r="L596" s="7" t="str">
        <f t="shared" ref="L596:L659" si="20">RIGHT(B596, LEN(B596)-SEARCH("_",B596 ))</f>
        <v>FB_Run</v>
      </c>
    </row>
    <row r="597" spans="1:12" x14ac:dyDescent="0.25">
      <c r="A597" s="2">
        <v>584</v>
      </c>
      <c r="B597" s="3" t="s">
        <v>1410</v>
      </c>
      <c r="C597" s="2" t="s">
        <v>1175</v>
      </c>
      <c r="D597" s="2" t="s">
        <v>7</v>
      </c>
      <c r="E597" s="3" t="s">
        <v>1360</v>
      </c>
      <c r="G597" s="18"/>
      <c r="H597" t="s">
        <v>1495</v>
      </c>
      <c r="K597" s="7" t="str">
        <f t="shared" si="19"/>
        <v>PrimingPump1</v>
      </c>
      <c r="L597" s="7" t="str">
        <f t="shared" si="20"/>
        <v>FB_Stop</v>
      </c>
    </row>
    <row r="598" spans="1:12" x14ac:dyDescent="0.25">
      <c r="A598" s="2">
        <v>585</v>
      </c>
      <c r="B598" s="3" t="s">
        <v>1411</v>
      </c>
      <c r="C598" s="2" t="s">
        <v>1177</v>
      </c>
      <c r="D598" s="2" t="s">
        <v>7</v>
      </c>
      <c r="E598" s="3" t="s">
        <v>1361</v>
      </c>
      <c r="G598" s="18"/>
      <c r="H598" t="s">
        <v>1496</v>
      </c>
      <c r="K598" s="7" t="str">
        <f t="shared" si="19"/>
        <v>PrimingPump1</v>
      </c>
      <c r="L598" s="7" t="str">
        <f t="shared" si="20"/>
        <v>FB_Fault</v>
      </c>
    </row>
    <row r="599" spans="1:12" x14ac:dyDescent="0.25">
      <c r="A599" s="2"/>
      <c r="B599" s="3" t="s">
        <v>1412</v>
      </c>
      <c r="C599" s="2"/>
      <c r="D599" s="2"/>
      <c r="E599" s="3"/>
      <c r="G599" s="18"/>
      <c r="H599" t="s">
        <v>1494</v>
      </c>
      <c r="K599" s="7" t="str">
        <f t="shared" si="19"/>
        <v>PrimingPump1</v>
      </c>
      <c r="L599" s="7" t="str">
        <f t="shared" si="20"/>
        <v>FB_maintenance</v>
      </c>
    </row>
    <row r="600" spans="1:12" x14ac:dyDescent="0.25">
      <c r="A600" s="2">
        <v>586</v>
      </c>
      <c r="B600" s="3" t="s">
        <v>1413</v>
      </c>
      <c r="C600" s="2" t="s">
        <v>1179</v>
      </c>
      <c r="D600" s="2" t="s">
        <v>7</v>
      </c>
      <c r="E600" s="3" t="s">
        <v>1362</v>
      </c>
      <c r="G600" s="18" t="s">
        <v>1507</v>
      </c>
      <c r="H600" t="s">
        <v>1508</v>
      </c>
      <c r="K600" s="7" t="str">
        <f t="shared" si="19"/>
        <v>PrimingPump2</v>
      </c>
      <c r="L600" s="7" t="str">
        <f t="shared" si="20"/>
        <v>FB_Run</v>
      </c>
    </row>
    <row r="601" spans="1:12" x14ac:dyDescent="0.25">
      <c r="A601" s="2">
        <v>587</v>
      </c>
      <c r="B601" s="3" t="s">
        <v>1414</v>
      </c>
      <c r="C601" s="2" t="s">
        <v>1181</v>
      </c>
      <c r="D601" s="2" t="s">
        <v>7</v>
      </c>
      <c r="E601" s="3" t="s">
        <v>1363</v>
      </c>
      <c r="G601" s="18"/>
      <c r="H601" t="s">
        <v>1495</v>
      </c>
      <c r="K601" s="7" t="str">
        <f t="shared" si="19"/>
        <v>PrimingPump2</v>
      </c>
      <c r="L601" s="7" t="str">
        <f t="shared" si="20"/>
        <v>FB_Stop</v>
      </c>
    </row>
    <row r="602" spans="1:12" x14ac:dyDescent="0.25">
      <c r="A602" s="2">
        <v>588</v>
      </c>
      <c r="B602" s="3" t="s">
        <v>1415</v>
      </c>
      <c r="C602" s="2" t="s">
        <v>1183</v>
      </c>
      <c r="D602" s="2" t="s">
        <v>7</v>
      </c>
      <c r="E602" s="3" t="s">
        <v>1364</v>
      </c>
      <c r="G602" s="18"/>
      <c r="H602" t="s">
        <v>1496</v>
      </c>
      <c r="K602" s="7" t="str">
        <f t="shared" si="19"/>
        <v>PrimingPump2</v>
      </c>
      <c r="L602" s="7" t="str">
        <f t="shared" si="20"/>
        <v>FB_Fault</v>
      </c>
    </row>
    <row r="603" spans="1:12" x14ac:dyDescent="0.25">
      <c r="A603" s="2"/>
      <c r="B603" s="3" t="s">
        <v>1416</v>
      </c>
      <c r="C603" s="2"/>
      <c r="D603" s="2"/>
      <c r="E603" s="3"/>
      <c r="G603" s="18"/>
      <c r="H603" t="s">
        <v>1494</v>
      </c>
      <c r="K603" s="7" t="str">
        <f t="shared" si="19"/>
        <v>PrimingPump2</v>
      </c>
      <c r="L603" s="7" t="str">
        <f t="shared" si="20"/>
        <v>FB_maintenance</v>
      </c>
    </row>
    <row r="604" spans="1:12" x14ac:dyDescent="0.25">
      <c r="A604" s="2">
        <v>589</v>
      </c>
      <c r="B604" s="3" t="s">
        <v>1184</v>
      </c>
      <c r="C604" s="2" t="s">
        <v>1185</v>
      </c>
      <c r="D604" s="2" t="s">
        <v>35</v>
      </c>
      <c r="E604" s="3" t="s">
        <v>1365</v>
      </c>
      <c r="G604" t="s">
        <v>1509</v>
      </c>
      <c r="H604" t="s">
        <v>1510</v>
      </c>
      <c r="K604" s="7" t="str">
        <f t="shared" si="19"/>
        <v>Level</v>
      </c>
      <c r="L604" s="7" t="str">
        <f t="shared" si="20"/>
        <v>River</v>
      </c>
    </row>
    <row r="605" spans="1:12" x14ac:dyDescent="0.25">
      <c r="A605" s="2">
        <v>590</v>
      </c>
      <c r="B605" s="3" t="s">
        <v>1186</v>
      </c>
      <c r="C605" s="2" t="s">
        <v>1187</v>
      </c>
      <c r="D605" s="2" t="s">
        <v>35</v>
      </c>
      <c r="E605" s="3" t="s">
        <v>1366</v>
      </c>
      <c r="K605" s="7" t="str">
        <f t="shared" si="19"/>
        <v>Level</v>
      </c>
      <c r="L605" s="7" t="str">
        <f t="shared" si="20"/>
        <v>Discharge1</v>
      </c>
    </row>
    <row r="606" spans="1:12" x14ac:dyDescent="0.25">
      <c r="A606" s="2">
        <v>600</v>
      </c>
      <c r="B606" s="3" t="s">
        <v>1206</v>
      </c>
      <c r="C606" s="2" t="s">
        <v>1207</v>
      </c>
      <c r="D606" s="2" t="s">
        <v>24</v>
      </c>
      <c r="E606" s="3" t="s">
        <v>1376</v>
      </c>
      <c r="K606" s="7" t="str">
        <f t="shared" si="19"/>
        <v>Pump1</v>
      </c>
      <c r="L606" s="7" t="str">
        <f t="shared" si="20"/>
        <v>Set_tempA</v>
      </c>
    </row>
    <row r="607" spans="1:12" x14ac:dyDescent="0.25">
      <c r="A607" s="2">
        <v>601</v>
      </c>
      <c r="B607" s="3" t="s">
        <v>1208</v>
      </c>
      <c r="C607" s="2" t="s">
        <v>1209</v>
      </c>
      <c r="D607" s="2" t="s">
        <v>24</v>
      </c>
      <c r="E607" s="3" t="s">
        <v>1377</v>
      </c>
      <c r="K607" s="7" t="str">
        <f t="shared" si="19"/>
        <v>Pump1</v>
      </c>
      <c r="L607" s="7" t="str">
        <f t="shared" si="20"/>
        <v>Set_tempB</v>
      </c>
    </row>
    <row r="608" spans="1:12" x14ac:dyDescent="0.25">
      <c r="A608" s="2">
        <v>602</v>
      </c>
      <c r="B608" s="3" t="s">
        <v>1210</v>
      </c>
      <c r="C608" s="2" t="s">
        <v>1211</v>
      </c>
      <c r="D608" s="2" t="s">
        <v>24</v>
      </c>
      <c r="E608" s="3" t="s">
        <v>1378</v>
      </c>
      <c r="K608" s="7" t="str">
        <f t="shared" si="19"/>
        <v>Pump1</v>
      </c>
      <c r="L608" s="7" t="str">
        <f t="shared" si="20"/>
        <v>Set_tempC</v>
      </c>
    </row>
    <row r="609" spans="1:12" x14ac:dyDescent="0.25">
      <c r="A609" s="2">
        <v>603</v>
      </c>
      <c r="B609" s="3" t="s">
        <v>1212</v>
      </c>
      <c r="C609" s="2" t="s">
        <v>1213</v>
      </c>
      <c r="D609" s="2" t="s">
        <v>24</v>
      </c>
      <c r="E609" s="3" t="s">
        <v>1379</v>
      </c>
      <c r="K609" s="7" t="str">
        <f t="shared" si="19"/>
        <v>Pump1</v>
      </c>
      <c r="L609" s="7" t="str">
        <f t="shared" si="20"/>
        <v>Set_tempDE</v>
      </c>
    </row>
    <row r="610" spans="1:12" x14ac:dyDescent="0.25">
      <c r="A610" s="2">
        <v>604</v>
      </c>
      <c r="B610" s="3" t="s">
        <v>1214</v>
      </c>
      <c r="C610" s="2" t="s">
        <v>1215</v>
      </c>
      <c r="D610" s="2" t="s">
        <v>24</v>
      </c>
      <c r="E610" s="3" t="s">
        <v>1380</v>
      </c>
      <c r="K610" s="7" t="str">
        <f t="shared" si="19"/>
        <v>Pump1</v>
      </c>
      <c r="L610" s="7" t="str">
        <f t="shared" si="20"/>
        <v>Set_tempNDE</v>
      </c>
    </row>
    <row r="611" spans="1:12" x14ac:dyDescent="0.25">
      <c r="A611" s="2">
        <v>605</v>
      </c>
      <c r="B611" s="3" t="s">
        <v>1216</v>
      </c>
      <c r="C611" s="2" t="s">
        <v>1217</v>
      </c>
      <c r="D611" s="2" t="s">
        <v>24</v>
      </c>
      <c r="E611" s="3" t="s">
        <v>1376</v>
      </c>
      <c r="K611" s="7" t="str">
        <f t="shared" si="19"/>
        <v>Pump2</v>
      </c>
      <c r="L611" s="7" t="str">
        <f t="shared" si="20"/>
        <v>Set_tempA</v>
      </c>
    </row>
    <row r="612" spans="1:12" x14ac:dyDescent="0.25">
      <c r="A612" s="2">
        <v>606</v>
      </c>
      <c r="B612" s="3" t="s">
        <v>1218</v>
      </c>
      <c r="C612" s="2" t="s">
        <v>1219</v>
      </c>
      <c r="D612" s="2" t="s">
        <v>24</v>
      </c>
      <c r="E612" s="3" t="s">
        <v>1377</v>
      </c>
      <c r="K612" s="7" t="str">
        <f t="shared" si="19"/>
        <v>Pump2</v>
      </c>
      <c r="L612" s="7" t="str">
        <f t="shared" si="20"/>
        <v>Set_tempB</v>
      </c>
    </row>
    <row r="613" spans="1:12" x14ac:dyDescent="0.25">
      <c r="A613" s="2">
        <v>607</v>
      </c>
      <c r="B613" s="3" t="s">
        <v>1220</v>
      </c>
      <c r="C613" s="2" t="s">
        <v>1221</v>
      </c>
      <c r="D613" s="2" t="s">
        <v>24</v>
      </c>
      <c r="E613" s="3" t="s">
        <v>1378</v>
      </c>
      <c r="K613" s="7" t="str">
        <f t="shared" si="19"/>
        <v>Pump2</v>
      </c>
      <c r="L613" s="7" t="str">
        <f t="shared" si="20"/>
        <v>Set_tempC</v>
      </c>
    </row>
    <row r="614" spans="1:12" x14ac:dyDescent="0.25">
      <c r="A614" s="2">
        <v>608</v>
      </c>
      <c r="B614" s="3" t="s">
        <v>1222</v>
      </c>
      <c r="C614" s="2" t="s">
        <v>1223</v>
      </c>
      <c r="D614" s="2" t="s">
        <v>24</v>
      </c>
      <c r="E614" s="3" t="s">
        <v>1379</v>
      </c>
      <c r="K614" s="7" t="str">
        <f t="shared" si="19"/>
        <v>Pump2</v>
      </c>
      <c r="L614" s="7" t="str">
        <f t="shared" si="20"/>
        <v>Set_tempDE</v>
      </c>
    </row>
    <row r="615" spans="1:12" x14ac:dyDescent="0.25">
      <c r="A615" s="2">
        <v>609</v>
      </c>
      <c r="B615" s="3" t="s">
        <v>1224</v>
      </c>
      <c r="C615" s="2" t="s">
        <v>1225</v>
      </c>
      <c r="D615" s="2" t="s">
        <v>24</v>
      </c>
      <c r="E615" s="3" t="s">
        <v>1380</v>
      </c>
      <c r="K615" s="7" t="str">
        <f t="shared" si="19"/>
        <v>Pump2</v>
      </c>
      <c r="L615" s="7" t="str">
        <f t="shared" si="20"/>
        <v>Set_tempNDE</v>
      </c>
    </row>
    <row r="616" spans="1:12" x14ac:dyDescent="0.25">
      <c r="A616" s="2">
        <v>610</v>
      </c>
      <c r="B616" s="3" t="s">
        <v>1226</v>
      </c>
      <c r="C616" s="2" t="s">
        <v>1227</v>
      </c>
      <c r="D616" s="2" t="s">
        <v>24</v>
      </c>
      <c r="E616" s="3" t="s">
        <v>1376</v>
      </c>
      <c r="K616" s="7" t="str">
        <f t="shared" si="19"/>
        <v>Pump3</v>
      </c>
      <c r="L616" s="7" t="str">
        <f t="shared" si="20"/>
        <v>Set_tempA</v>
      </c>
    </row>
    <row r="617" spans="1:12" x14ac:dyDescent="0.25">
      <c r="A617" s="2">
        <v>611</v>
      </c>
      <c r="B617" s="3" t="s">
        <v>1228</v>
      </c>
      <c r="C617" s="2" t="s">
        <v>1229</v>
      </c>
      <c r="D617" s="2" t="s">
        <v>24</v>
      </c>
      <c r="E617" s="3" t="s">
        <v>1377</v>
      </c>
      <c r="K617" s="7" t="str">
        <f t="shared" si="19"/>
        <v>Pump3</v>
      </c>
      <c r="L617" s="7" t="str">
        <f t="shared" si="20"/>
        <v>Set_tempB</v>
      </c>
    </row>
    <row r="618" spans="1:12" x14ac:dyDescent="0.25">
      <c r="A618" s="2">
        <v>612</v>
      </c>
      <c r="B618" s="3" t="s">
        <v>1230</v>
      </c>
      <c r="C618" s="2" t="s">
        <v>1231</v>
      </c>
      <c r="D618" s="2" t="s">
        <v>24</v>
      </c>
      <c r="E618" s="3" t="s">
        <v>1378</v>
      </c>
      <c r="K618" s="7" t="str">
        <f t="shared" si="19"/>
        <v>Pump3</v>
      </c>
      <c r="L618" s="7" t="str">
        <f t="shared" si="20"/>
        <v>Set_tempC</v>
      </c>
    </row>
    <row r="619" spans="1:12" x14ac:dyDescent="0.25">
      <c r="A619" s="2">
        <v>613</v>
      </c>
      <c r="B619" s="3" t="s">
        <v>1232</v>
      </c>
      <c r="C619" s="2" t="s">
        <v>1233</v>
      </c>
      <c r="D619" s="2" t="s">
        <v>24</v>
      </c>
      <c r="E619" s="3" t="s">
        <v>1379</v>
      </c>
      <c r="K619" s="7" t="str">
        <f t="shared" si="19"/>
        <v>Pump3</v>
      </c>
      <c r="L619" s="7" t="str">
        <f t="shared" si="20"/>
        <v>Set_tempDE</v>
      </c>
    </row>
    <row r="620" spans="1:12" x14ac:dyDescent="0.25">
      <c r="A620" s="2">
        <v>614</v>
      </c>
      <c r="B620" s="3" t="s">
        <v>1234</v>
      </c>
      <c r="C620" s="2" t="s">
        <v>1235</v>
      </c>
      <c r="D620" s="2" t="s">
        <v>24</v>
      </c>
      <c r="E620" s="3" t="s">
        <v>1380</v>
      </c>
      <c r="K620" s="7" t="str">
        <f t="shared" si="19"/>
        <v>Pump3</v>
      </c>
      <c r="L620" s="7" t="str">
        <f t="shared" si="20"/>
        <v>Set_tempNDE</v>
      </c>
    </row>
    <row r="621" spans="1:12" x14ac:dyDescent="0.25">
      <c r="A621" s="2">
        <v>615</v>
      </c>
      <c r="B621" s="3" t="s">
        <v>1236</v>
      </c>
      <c r="C621" s="2" t="s">
        <v>1237</v>
      </c>
      <c r="D621" s="2" t="s">
        <v>24</v>
      </c>
      <c r="E621" s="3" t="s">
        <v>1376</v>
      </c>
      <c r="K621" s="7" t="str">
        <f t="shared" si="19"/>
        <v>Pump4</v>
      </c>
      <c r="L621" s="7" t="str">
        <f t="shared" si="20"/>
        <v>Set_tempA</v>
      </c>
    </row>
    <row r="622" spans="1:12" x14ac:dyDescent="0.25">
      <c r="A622" s="2">
        <v>616</v>
      </c>
      <c r="B622" s="3" t="s">
        <v>1238</v>
      </c>
      <c r="C622" s="2" t="s">
        <v>1239</v>
      </c>
      <c r="D622" s="2" t="s">
        <v>24</v>
      </c>
      <c r="E622" s="3" t="s">
        <v>1377</v>
      </c>
      <c r="K622" s="7" t="str">
        <f t="shared" si="19"/>
        <v>Pump4</v>
      </c>
      <c r="L622" s="7" t="str">
        <f t="shared" si="20"/>
        <v>Set_tempB</v>
      </c>
    </row>
    <row r="623" spans="1:12" x14ac:dyDescent="0.25">
      <c r="A623" s="2">
        <v>617</v>
      </c>
      <c r="B623" s="3" t="s">
        <v>1240</v>
      </c>
      <c r="C623" s="2" t="s">
        <v>1241</v>
      </c>
      <c r="D623" s="2" t="s">
        <v>24</v>
      </c>
      <c r="E623" s="3" t="s">
        <v>1378</v>
      </c>
      <c r="K623" s="7" t="str">
        <f t="shared" si="19"/>
        <v>Pump4</v>
      </c>
      <c r="L623" s="7" t="str">
        <f t="shared" si="20"/>
        <v>Set_tempC</v>
      </c>
    </row>
    <row r="624" spans="1:12" x14ac:dyDescent="0.25">
      <c r="A624" s="2">
        <v>618</v>
      </c>
      <c r="B624" s="3" t="s">
        <v>1242</v>
      </c>
      <c r="C624" s="2" t="s">
        <v>1243</v>
      </c>
      <c r="D624" s="2" t="s">
        <v>24</v>
      </c>
      <c r="E624" s="3" t="s">
        <v>1379</v>
      </c>
      <c r="K624" s="7" t="str">
        <f t="shared" si="19"/>
        <v>Pump4</v>
      </c>
      <c r="L624" s="7" t="str">
        <f t="shared" si="20"/>
        <v>Set_tempDE</v>
      </c>
    </row>
    <row r="625" spans="1:12" x14ac:dyDescent="0.25">
      <c r="A625" s="2">
        <v>619</v>
      </c>
      <c r="B625" s="3" t="s">
        <v>1244</v>
      </c>
      <c r="C625" s="2" t="s">
        <v>1245</v>
      </c>
      <c r="D625" s="2" t="s">
        <v>24</v>
      </c>
      <c r="E625" s="3" t="s">
        <v>1380</v>
      </c>
      <c r="K625" s="7" t="str">
        <f t="shared" si="19"/>
        <v>Pump4</v>
      </c>
      <c r="L625" s="7" t="str">
        <f t="shared" si="20"/>
        <v>Set_tempNDE</v>
      </c>
    </row>
    <row r="626" spans="1:12" x14ac:dyDescent="0.25">
      <c r="A626" s="2">
        <v>620</v>
      </c>
      <c r="B626" s="3" t="s">
        <v>1246</v>
      </c>
      <c r="C626" s="2" t="s">
        <v>1247</v>
      </c>
      <c r="D626" s="2" t="s">
        <v>24</v>
      </c>
      <c r="E626" s="3" t="s">
        <v>1376</v>
      </c>
      <c r="K626" s="7" t="str">
        <f t="shared" si="19"/>
        <v>Pump5</v>
      </c>
      <c r="L626" s="7" t="str">
        <f t="shared" si="20"/>
        <v>Set_tempA</v>
      </c>
    </row>
    <row r="627" spans="1:12" x14ac:dyDescent="0.25">
      <c r="A627" s="2">
        <v>621</v>
      </c>
      <c r="B627" s="3" t="s">
        <v>1248</v>
      </c>
      <c r="C627" s="2" t="s">
        <v>1249</v>
      </c>
      <c r="D627" s="2" t="s">
        <v>24</v>
      </c>
      <c r="E627" s="3" t="s">
        <v>1377</v>
      </c>
      <c r="K627" s="7" t="str">
        <f t="shared" si="19"/>
        <v>Pump5</v>
      </c>
      <c r="L627" s="7" t="str">
        <f t="shared" si="20"/>
        <v>Set_tempB</v>
      </c>
    </row>
    <row r="628" spans="1:12" x14ac:dyDescent="0.25">
      <c r="A628" s="2">
        <v>622</v>
      </c>
      <c r="B628" s="3" t="s">
        <v>1250</v>
      </c>
      <c r="C628" s="2" t="s">
        <v>1251</v>
      </c>
      <c r="D628" s="2" t="s">
        <v>24</v>
      </c>
      <c r="E628" s="3" t="s">
        <v>1378</v>
      </c>
      <c r="K628" s="7" t="str">
        <f t="shared" si="19"/>
        <v>Pump5</v>
      </c>
      <c r="L628" s="7" t="str">
        <f t="shared" si="20"/>
        <v>Set_tempC</v>
      </c>
    </row>
    <row r="629" spans="1:12" x14ac:dyDescent="0.25">
      <c r="A629" s="2">
        <v>623</v>
      </c>
      <c r="B629" s="3" t="s">
        <v>1252</v>
      </c>
      <c r="C629" s="2" t="s">
        <v>1253</v>
      </c>
      <c r="D629" s="2" t="s">
        <v>24</v>
      </c>
      <c r="E629" s="3" t="s">
        <v>1379</v>
      </c>
      <c r="K629" s="7" t="str">
        <f t="shared" si="19"/>
        <v>Pump5</v>
      </c>
      <c r="L629" s="7" t="str">
        <f t="shared" si="20"/>
        <v>Set_tempDE</v>
      </c>
    </row>
    <row r="630" spans="1:12" x14ac:dyDescent="0.25">
      <c r="A630" s="2">
        <v>624</v>
      </c>
      <c r="B630" s="3" t="s">
        <v>1254</v>
      </c>
      <c r="C630" s="2" t="s">
        <v>1255</v>
      </c>
      <c r="D630" s="2" t="s">
        <v>24</v>
      </c>
      <c r="E630" s="3" t="s">
        <v>1380</v>
      </c>
      <c r="K630" s="7" t="str">
        <f t="shared" si="19"/>
        <v>Pump5</v>
      </c>
      <c r="L630" s="7" t="str">
        <f t="shared" si="20"/>
        <v>Set_tempNDE</v>
      </c>
    </row>
    <row r="631" spans="1:12" x14ac:dyDescent="0.25">
      <c r="A631" s="2">
        <v>625</v>
      </c>
      <c r="B631" s="3" t="s">
        <v>1256</v>
      </c>
      <c r="C631" s="2" t="s">
        <v>1257</v>
      </c>
      <c r="D631" s="2" t="s">
        <v>24</v>
      </c>
      <c r="E631" s="3" t="s">
        <v>1376</v>
      </c>
      <c r="K631" s="7" t="str">
        <f t="shared" si="19"/>
        <v>Pump6</v>
      </c>
      <c r="L631" s="7" t="str">
        <f t="shared" si="20"/>
        <v>Set_tempA</v>
      </c>
    </row>
    <row r="632" spans="1:12" x14ac:dyDescent="0.25">
      <c r="A632" s="2">
        <v>626</v>
      </c>
      <c r="B632" s="3" t="s">
        <v>1258</v>
      </c>
      <c r="C632" s="2" t="s">
        <v>1259</v>
      </c>
      <c r="D632" s="2" t="s">
        <v>24</v>
      </c>
      <c r="E632" s="3" t="s">
        <v>1377</v>
      </c>
      <c r="K632" s="7" t="str">
        <f t="shared" si="19"/>
        <v>Pump6</v>
      </c>
      <c r="L632" s="7" t="str">
        <f t="shared" si="20"/>
        <v>Set_tempB</v>
      </c>
    </row>
    <row r="633" spans="1:12" x14ac:dyDescent="0.25">
      <c r="A633" s="2">
        <v>627</v>
      </c>
      <c r="B633" s="3" t="s">
        <v>1260</v>
      </c>
      <c r="C633" s="2" t="s">
        <v>1261</v>
      </c>
      <c r="D633" s="2" t="s">
        <v>24</v>
      </c>
      <c r="E633" s="3" t="s">
        <v>1378</v>
      </c>
      <c r="K633" s="7" t="str">
        <f t="shared" si="19"/>
        <v>Pump6</v>
      </c>
      <c r="L633" s="7" t="str">
        <f t="shared" si="20"/>
        <v>Set_tempC</v>
      </c>
    </row>
    <row r="634" spans="1:12" x14ac:dyDescent="0.25">
      <c r="A634" s="2">
        <v>628</v>
      </c>
      <c r="B634" s="3" t="s">
        <v>1262</v>
      </c>
      <c r="C634" s="2" t="s">
        <v>1263</v>
      </c>
      <c r="D634" s="2" t="s">
        <v>24</v>
      </c>
      <c r="E634" s="3" t="s">
        <v>1379</v>
      </c>
      <c r="K634" s="7" t="str">
        <f t="shared" si="19"/>
        <v>Pump6</v>
      </c>
      <c r="L634" s="7" t="str">
        <f t="shared" si="20"/>
        <v>Set_tempDE</v>
      </c>
    </row>
    <row r="635" spans="1:12" x14ac:dyDescent="0.25">
      <c r="A635" s="2">
        <v>629</v>
      </c>
      <c r="B635" s="3" t="s">
        <v>1264</v>
      </c>
      <c r="C635" s="2" t="s">
        <v>1265</v>
      </c>
      <c r="D635" s="2" t="s">
        <v>24</v>
      </c>
      <c r="E635" s="3" t="s">
        <v>1380</v>
      </c>
      <c r="K635" s="7" t="str">
        <f t="shared" si="19"/>
        <v>Pump6</v>
      </c>
      <c r="L635" s="7" t="str">
        <f t="shared" si="20"/>
        <v>Set_tempNDE</v>
      </c>
    </row>
    <row r="636" spans="1:12" x14ac:dyDescent="0.25">
      <c r="A636" s="2">
        <v>630</v>
      </c>
      <c r="B636" s="3" t="s">
        <v>1266</v>
      </c>
      <c r="C636" s="2" t="s">
        <v>1267</v>
      </c>
      <c r="D636" s="2" t="s">
        <v>24</v>
      </c>
      <c r="E636" s="3" t="s">
        <v>1376</v>
      </c>
      <c r="K636" s="7" t="str">
        <f t="shared" si="19"/>
        <v>Pump7</v>
      </c>
      <c r="L636" s="7" t="str">
        <f t="shared" si="20"/>
        <v>Set_tempA</v>
      </c>
    </row>
    <row r="637" spans="1:12" x14ac:dyDescent="0.25">
      <c r="A637" s="2">
        <v>631</v>
      </c>
      <c r="B637" s="3" t="s">
        <v>1268</v>
      </c>
      <c r="C637" s="2" t="s">
        <v>1269</v>
      </c>
      <c r="D637" s="2" t="s">
        <v>24</v>
      </c>
      <c r="E637" s="3" t="s">
        <v>1377</v>
      </c>
      <c r="K637" s="7" t="str">
        <f t="shared" si="19"/>
        <v>Pump7</v>
      </c>
      <c r="L637" s="7" t="str">
        <f t="shared" si="20"/>
        <v>Set_tempB</v>
      </c>
    </row>
    <row r="638" spans="1:12" x14ac:dyDescent="0.25">
      <c r="A638" s="2">
        <v>632</v>
      </c>
      <c r="B638" s="3" t="s">
        <v>1270</v>
      </c>
      <c r="C638" s="2" t="s">
        <v>1271</v>
      </c>
      <c r="D638" s="2" t="s">
        <v>24</v>
      </c>
      <c r="E638" s="3" t="s">
        <v>1378</v>
      </c>
      <c r="K638" s="7" t="str">
        <f t="shared" si="19"/>
        <v>Pump7</v>
      </c>
      <c r="L638" s="7" t="str">
        <f t="shared" si="20"/>
        <v>Set_tempC</v>
      </c>
    </row>
    <row r="639" spans="1:12" x14ac:dyDescent="0.25">
      <c r="A639" s="2">
        <v>633</v>
      </c>
      <c r="B639" s="3" t="s">
        <v>1272</v>
      </c>
      <c r="C639" s="2" t="s">
        <v>1273</v>
      </c>
      <c r="D639" s="2" t="s">
        <v>24</v>
      </c>
      <c r="E639" s="3" t="s">
        <v>1379</v>
      </c>
      <c r="K639" s="7" t="str">
        <f t="shared" si="19"/>
        <v>Pump7</v>
      </c>
      <c r="L639" s="7" t="str">
        <f t="shared" si="20"/>
        <v>Set_tempDE</v>
      </c>
    </row>
    <row r="640" spans="1:12" x14ac:dyDescent="0.25">
      <c r="A640" s="2">
        <v>634</v>
      </c>
      <c r="B640" s="3" t="s">
        <v>1274</v>
      </c>
      <c r="C640" s="2" t="s">
        <v>1275</v>
      </c>
      <c r="D640" s="2" t="s">
        <v>24</v>
      </c>
      <c r="E640" s="3" t="s">
        <v>1380</v>
      </c>
      <c r="K640" s="7" t="str">
        <f t="shared" si="19"/>
        <v>Pump7</v>
      </c>
      <c r="L640" s="7" t="str">
        <f t="shared" si="20"/>
        <v>Set_tempNDE</v>
      </c>
    </row>
    <row r="641" spans="1:12" x14ac:dyDescent="0.25">
      <c r="A641" s="2">
        <v>635</v>
      </c>
      <c r="B641" s="3" t="s">
        <v>1276</v>
      </c>
      <c r="C641" s="2" t="s">
        <v>1277</v>
      </c>
      <c r="D641" s="2" t="s">
        <v>24</v>
      </c>
      <c r="E641" s="3" t="s">
        <v>1376</v>
      </c>
      <c r="K641" s="7" t="str">
        <f t="shared" si="19"/>
        <v>Pump8</v>
      </c>
      <c r="L641" s="7" t="str">
        <f t="shared" si="20"/>
        <v>Set_tempA</v>
      </c>
    </row>
    <row r="642" spans="1:12" x14ac:dyDescent="0.25">
      <c r="A642" s="2">
        <v>636</v>
      </c>
      <c r="B642" s="3" t="s">
        <v>1278</v>
      </c>
      <c r="C642" s="2" t="s">
        <v>1279</v>
      </c>
      <c r="D642" s="2" t="s">
        <v>24</v>
      </c>
      <c r="E642" s="3" t="s">
        <v>1377</v>
      </c>
      <c r="K642" s="7" t="str">
        <f t="shared" si="19"/>
        <v>Pump8</v>
      </c>
      <c r="L642" s="7" t="str">
        <f t="shared" si="20"/>
        <v>Set_tempB</v>
      </c>
    </row>
    <row r="643" spans="1:12" x14ac:dyDescent="0.25">
      <c r="A643" s="2">
        <v>637</v>
      </c>
      <c r="B643" s="3" t="s">
        <v>1280</v>
      </c>
      <c r="C643" s="2" t="s">
        <v>1281</v>
      </c>
      <c r="D643" s="2" t="s">
        <v>24</v>
      </c>
      <c r="E643" s="3" t="s">
        <v>1378</v>
      </c>
      <c r="K643" s="7" t="str">
        <f t="shared" si="19"/>
        <v>Pump8</v>
      </c>
      <c r="L643" s="7" t="str">
        <f t="shared" si="20"/>
        <v>Set_tempC</v>
      </c>
    </row>
    <row r="644" spans="1:12" x14ac:dyDescent="0.25">
      <c r="A644" s="2">
        <v>638</v>
      </c>
      <c r="B644" s="3" t="s">
        <v>1282</v>
      </c>
      <c r="C644" s="2" t="s">
        <v>1283</v>
      </c>
      <c r="D644" s="2" t="s">
        <v>24</v>
      </c>
      <c r="E644" s="3" t="s">
        <v>1379</v>
      </c>
      <c r="K644" s="7" t="str">
        <f t="shared" si="19"/>
        <v>Pump8</v>
      </c>
      <c r="L644" s="7" t="str">
        <f t="shared" si="20"/>
        <v>Set_tempDE</v>
      </c>
    </row>
    <row r="645" spans="1:12" x14ac:dyDescent="0.25">
      <c r="A645" s="2">
        <v>639</v>
      </c>
      <c r="B645" s="3" t="s">
        <v>1284</v>
      </c>
      <c r="C645" s="2" t="s">
        <v>1285</v>
      </c>
      <c r="D645" s="2" t="s">
        <v>24</v>
      </c>
      <c r="E645" s="3" t="s">
        <v>1380</v>
      </c>
      <c r="K645" s="7" t="str">
        <f t="shared" si="19"/>
        <v>Pump8</v>
      </c>
      <c r="L645" s="7" t="str">
        <f t="shared" si="20"/>
        <v>Set_tempNDE</v>
      </c>
    </row>
    <row r="646" spans="1:12" x14ac:dyDescent="0.25">
      <c r="A646" s="2">
        <v>640</v>
      </c>
      <c r="B646" s="3" t="s">
        <v>1286</v>
      </c>
      <c r="C646" s="2" t="s">
        <v>1287</v>
      </c>
      <c r="D646" s="2" t="s">
        <v>24</v>
      </c>
      <c r="E646" s="3" t="s">
        <v>1376</v>
      </c>
      <c r="K646" s="7" t="str">
        <f t="shared" si="19"/>
        <v>Pump9</v>
      </c>
      <c r="L646" s="7" t="str">
        <f t="shared" si="20"/>
        <v>Set_tempA</v>
      </c>
    </row>
    <row r="647" spans="1:12" x14ac:dyDescent="0.25">
      <c r="A647" s="2">
        <v>641</v>
      </c>
      <c r="B647" s="3" t="s">
        <v>1288</v>
      </c>
      <c r="C647" s="2" t="s">
        <v>1289</v>
      </c>
      <c r="D647" s="2" t="s">
        <v>24</v>
      </c>
      <c r="E647" s="3" t="s">
        <v>1377</v>
      </c>
      <c r="K647" s="7" t="str">
        <f t="shared" si="19"/>
        <v>Pump9</v>
      </c>
      <c r="L647" s="7" t="str">
        <f t="shared" si="20"/>
        <v>Set_tempB</v>
      </c>
    </row>
    <row r="648" spans="1:12" x14ac:dyDescent="0.25">
      <c r="A648" s="2">
        <v>642</v>
      </c>
      <c r="B648" s="3" t="s">
        <v>1290</v>
      </c>
      <c r="C648" s="2" t="s">
        <v>1291</v>
      </c>
      <c r="D648" s="2" t="s">
        <v>24</v>
      </c>
      <c r="E648" s="3" t="s">
        <v>1378</v>
      </c>
      <c r="K648" s="7" t="str">
        <f t="shared" si="19"/>
        <v>Pump9</v>
      </c>
      <c r="L648" s="7" t="str">
        <f t="shared" si="20"/>
        <v>Set_tempC</v>
      </c>
    </row>
    <row r="649" spans="1:12" x14ac:dyDescent="0.25">
      <c r="A649" s="2">
        <v>643</v>
      </c>
      <c r="B649" s="3" t="s">
        <v>1292</v>
      </c>
      <c r="C649" s="2" t="s">
        <v>1293</v>
      </c>
      <c r="D649" s="2" t="s">
        <v>24</v>
      </c>
      <c r="E649" s="3" t="s">
        <v>1379</v>
      </c>
      <c r="K649" s="7" t="str">
        <f t="shared" si="19"/>
        <v>Pump9</v>
      </c>
      <c r="L649" s="7" t="str">
        <f t="shared" si="20"/>
        <v>Set_tempDE</v>
      </c>
    </row>
    <row r="650" spans="1:12" x14ac:dyDescent="0.25">
      <c r="A650" s="2">
        <v>644</v>
      </c>
      <c r="B650" s="3" t="s">
        <v>1294</v>
      </c>
      <c r="C650" s="2" t="s">
        <v>1295</v>
      </c>
      <c r="D650" s="2" t="s">
        <v>24</v>
      </c>
      <c r="E650" s="3" t="s">
        <v>1380</v>
      </c>
      <c r="K650" s="7" t="str">
        <f t="shared" si="19"/>
        <v>Pump9</v>
      </c>
      <c r="L650" s="7" t="str">
        <f t="shared" si="20"/>
        <v>Set_tempNDE</v>
      </c>
    </row>
    <row r="651" spans="1:12" x14ac:dyDescent="0.25">
      <c r="A651" s="2">
        <v>645</v>
      </c>
      <c r="B651" s="3" t="s">
        <v>1296</v>
      </c>
      <c r="C651" s="2" t="s">
        <v>1297</v>
      </c>
      <c r="D651" s="2" t="s">
        <v>24</v>
      </c>
      <c r="E651" s="3" t="s">
        <v>1376</v>
      </c>
      <c r="K651" s="7" t="str">
        <f t="shared" si="19"/>
        <v>Pump10</v>
      </c>
      <c r="L651" s="7" t="str">
        <f t="shared" si="20"/>
        <v>Set_tempA</v>
      </c>
    </row>
    <row r="652" spans="1:12" x14ac:dyDescent="0.25">
      <c r="A652" s="2">
        <v>646</v>
      </c>
      <c r="B652" s="3" t="s">
        <v>1298</v>
      </c>
      <c r="C652" s="2" t="s">
        <v>1299</v>
      </c>
      <c r="D652" s="2" t="s">
        <v>24</v>
      </c>
      <c r="E652" s="3" t="s">
        <v>1377</v>
      </c>
      <c r="K652" s="7" t="str">
        <f t="shared" si="19"/>
        <v>Pump10</v>
      </c>
      <c r="L652" s="7" t="str">
        <f t="shared" si="20"/>
        <v>Set_tempB</v>
      </c>
    </row>
    <row r="653" spans="1:12" x14ac:dyDescent="0.25">
      <c r="A653" s="2">
        <v>647</v>
      </c>
      <c r="B653" s="3" t="s">
        <v>1300</v>
      </c>
      <c r="C653" s="2" t="s">
        <v>1301</v>
      </c>
      <c r="D653" s="2" t="s">
        <v>24</v>
      </c>
      <c r="E653" s="3" t="s">
        <v>1378</v>
      </c>
      <c r="K653" s="7" t="str">
        <f t="shared" si="19"/>
        <v>Pump10</v>
      </c>
      <c r="L653" s="7" t="str">
        <f t="shared" si="20"/>
        <v>Set_tempC</v>
      </c>
    </row>
    <row r="654" spans="1:12" x14ac:dyDescent="0.25">
      <c r="A654" s="2">
        <v>648</v>
      </c>
      <c r="B654" s="3" t="s">
        <v>1302</v>
      </c>
      <c r="C654" s="2" t="s">
        <v>1303</v>
      </c>
      <c r="D654" s="2" t="s">
        <v>24</v>
      </c>
      <c r="E654" s="3" t="s">
        <v>1379</v>
      </c>
      <c r="K654" s="7" t="str">
        <f t="shared" si="19"/>
        <v>Pump10</v>
      </c>
      <c r="L654" s="7" t="str">
        <f t="shared" si="20"/>
        <v>Set_tempDE</v>
      </c>
    </row>
    <row r="655" spans="1:12" x14ac:dyDescent="0.25">
      <c r="A655" s="2">
        <v>649</v>
      </c>
      <c r="B655" s="3" t="s">
        <v>1304</v>
      </c>
      <c r="C655" s="2" t="s">
        <v>1305</v>
      </c>
      <c r="D655" s="2" t="s">
        <v>24</v>
      </c>
      <c r="E655" s="3" t="s">
        <v>1380</v>
      </c>
      <c r="K655" s="7" t="str">
        <f t="shared" si="19"/>
        <v>Pump10</v>
      </c>
      <c r="L655" s="7" t="str">
        <f t="shared" si="20"/>
        <v>Set_tempNDE</v>
      </c>
    </row>
    <row r="656" spans="1:12" x14ac:dyDescent="0.25">
      <c r="B656" s="15" t="s">
        <v>1443</v>
      </c>
      <c r="D656" s="1" t="s">
        <v>1479</v>
      </c>
      <c r="E656" s="15" t="s">
        <v>1476</v>
      </c>
      <c r="K656" s="7" t="str">
        <f t="shared" si="19"/>
        <v>Metter0</v>
      </c>
      <c r="L656" s="7" t="str">
        <f t="shared" si="20"/>
        <v>Set_CurentR</v>
      </c>
    </row>
    <row r="657" spans="2:12" x14ac:dyDescent="0.25">
      <c r="B657" s="15" t="s">
        <v>1444</v>
      </c>
      <c r="D657" s="1" t="s">
        <v>1479</v>
      </c>
      <c r="E657" s="15" t="s">
        <v>1477</v>
      </c>
      <c r="K657" s="7" t="str">
        <f t="shared" si="19"/>
        <v>Metter0</v>
      </c>
      <c r="L657" s="7" t="str">
        <f t="shared" si="20"/>
        <v>Set_CurentS</v>
      </c>
    </row>
    <row r="658" spans="2:12" x14ac:dyDescent="0.25">
      <c r="B658" s="15" t="s">
        <v>1445</v>
      </c>
      <c r="D658" s="1" t="s">
        <v>1479</v>
      </c>
      <c r="E658" s="15" t="s">
        <v>1478</v>
      </c>
      <c r="K658" s="7" t="str">
        <f t="shared" ref="K658:K688" si="21">LEFT(B658, SEARCH("_",B658 ) - 1)</f>
        <v>Metter0</v>
      </c>
      <c r="L658" s="7" t="str">
        <f t="shared" si="20"/>
        <v>Set_CurentT</v>
      </c>
    </row>
    <row r="659" spans="2:12" x14ac:dyDescent="0.25">
      <c r="B659" s="15" t="s">
        <v>1446</v>
      </c>
      <c r="D659" s="1" t="s">
        <v>1479</v>
      </c>
      <c r="E659" s="15" t="s">
        <v>1476</v>
      </c>
      <c r="K659" s="7" t="str">
        <f t="shared" si="21"/>
        <v>Metter1</v>
      </c>
      <c r="L659" s="7" t="str">
        <f t="shared" si="20"/>
        <v>Set_CurentR</v>
      </c>
    </row>
    <row r="660" spans="2:12" x14ac:dyDescent="0.25">
      <c r="B660" s="15" t="s">
        <v>1447</v>
      </c>
      <c r="D660" s="1" t="s">
        <v>1479</v>
      </c>
      <c r="E660" s="15" t="s">
        <v>1477</v>
      </c>
      <c r="K660" s="7" t="str">
        <f t="shared" si="21"/>
        <v>Metter1</v>
      </c>
      <c r="L660" s="7" t="str">
        <f t="shared" ref="L660:L688" si="22">RIGHT(B660, LEN(B660)-SEARCH("_",B660 ))</f>
        <v>Set_CurentS</v>
      </c>
    </row>
    <row r="661" spans="2:12" x14ac:dyDescent="0.25">
      <c r="B661" s="15" t="s">
        <v>1448</v>
      </c>
      <c r="D661" s="1" t="s">
        <v>1479</v>
      </c>
      <c r="E661" s="15" t="s">
        <v>1478</v>
      </c>
      <c r="K661" s="7" t="str">
        <f t="shared" si="21"/>
        <v>Metter1</v>
      </c>
      <c r="L661" s="7" t="str">
        <f t="shared" si="22"/>
        <v>Set_CurentT</v>
      </c>
    </row>
    <row r="662" spans="2:12" x14ac:dyDescent="0.25">
      <c r="B662" s="15" t="s">
        <v>1449</v>
      </c>
      <c r="D662" s="1" t="s">
        <v>1479</v>
      </c>
      <c r="E662" s="15" t="s">
        <v>1476</v>
      </c>
      <c r="K662" s="7" t="str">
        <f t="shared" si="21"/>
        <v>Metter2</v>
      </c>
      <c r="L662" s="7" t="str">
        <f t="shared" si="22"/>
        <v>Set_CurentR</v>
      </c>
    </row>
    <row r="663" spans="2:12" x14ac:dyDescent="0.25">
      <c r="B663" s="15" t="s">
        <v>1450</v>
      </c>
      <c r="D663" s="1" t="s">
        <v>1479</v>
      </c>
      <c r="E663" s="15" t="s">
        <v>1477</v>
      </c>
      <c r="K663" s="7" t="str">
        <f t="shared" si="21"/>
        <v>Metter2</v>
      </c>
      <c r="L663" s="7" t="str">
        <f t="shared" si="22"/>
        <v>Set_CurentS</v>
      </c>
    </row>
    <row r="664" spans="2:12" x14ac:dyDescent="0.25">
      <c r="B664" s="15" t="s">
        <v>1451</v>
      </c>
      <c r="D664" s="1" t="s">
        <v>1479</v>
      </c>
      <c r="E664" s="15" t="s">
        <v>1478</v>
      </c>
      <c r="K664" s="7" t="str">
        <f t="shared" si="21"/>
        <v>Metter2</v>
      </c>
      <c r="L664" s="7" t="str">
        <f t="shared" si="22"/>
        <v>Set_CurentT</v>
      </c>
    </row>
    <row r="665" spans="2:12" x14ac:dyDescent="0.25">
      <c r="B665" s="15" t="s">
        <v>1452</v>
      </c>
      <c r="D665" s="1" t="s">
        <v>1479</v>
      </c>
      <c r="E665" s="15" t="s">
        <v>1476</v>
      </c>
      <c r="K665" s="7" t="str">
        <f t="shared" si="21"/>
        <v>Metter3</v>
      </c>
      <c r="L665" s="7" t="str">
        <f t="shared" si="22"/>
        <v>Set_CurentR</v>
      </c>
    </row>
    <row r="666" spans="2:12" x14ac:dyDescent="0.25">
      <c r="B666" s="15" t="s">
        <v>1453</v>
      </c>
      <c r="D666" s="1" t="s">
        <v>1479</v>
      </c>
      <c r="E666" s="15" t="s">
        <v>1477</v>
      </c>
      <c r="K666" s="7" t="str">
        <f t="shared" si="21"/>
        <v>Metter3</v>
      </c>
      <c r="L666" s="7" t="str">
        <f t="shared" si="22"/>
        <v>Set_CurentS</v>
      </c>
    </row>
    <row r="667" spans="2:12" x14ac:dyDescent="0.25">
      <c r="B667" s="15" t="s">
        <v>1454</v>
      </c>
      <c r="D667" s="1" t="s">
        <v>1479</v>
      </c>
      <c r="E667" s="15" t="s">
        <v>1478</v>
      </c>
      <c r="K667" s="7" t="str">
        <f t="shared" si="21"/>
        <v>Metter3</v>
      </c>
      <c r="L667" s="7" t="str">
        <f t="shared" si="22"/>
        <v>Set_CurentT</v>
      </c>
    </row>
    <row r="668" spans="2:12" x14ac:dyDescent="0.25">
      <c r="B668" s="15" t="s">
        <v>1455</v>
      </c>
      <c r="D668" s="1" t="s">
        <v>1479</v>
      </c>
      <c r="E668" s="15" t="s">
        <v>1476</v>
      </c>
      <c r="K668" s="7" t="str">
        <f t="shared" si="21"/>
        <v>Metter4</v>
      </c>
      <c r="L668" s="7" t="str">
        <f t="shared" si="22"/>
        <v>Set_CurentR</v>
      </c>
    </row>
    <row r="669" spans="2:12" x14ac:dyDescent="0.25">
      <c r="B669" s="15" t="s">
        <v>1456</v>
      </c>
      <c r="D669" s="1" t="s">
        <v>1479</v>
      </c>
      <c r="E669" s="15" t="s">
        <v>1477</v>
      </c>
      <c r="K669" s="7" t="str">
        <f t="shared" si="21"/>
        <v>Metter4</v>
      </c>
      <c r="L669" s="7" t="str">
        <f t="shared" si="22"/>
        <v>Set_CurentS</v>
      </c>
    </row>
    <row r="670" spans="2:12" x14ac:dyDescent="0.25">
      <c r="B670" s="15" t="s">
        <v>1457</v>
      </c>
      <c r="D670" s="1" t="s">
        <v>1479</v>
      </c>
      <c r="E670" s="15" t="s">
        <v>1478</v>
      </c>
      <c r="K670" s="7" t="str">
        <f t="shared" si="21"/>
        <v>Metter4</v>
      </c>
      <c r="L670" s="7" t="str">
        <f t="shared" si="22"/>
        <v>Set_CurentT</v>
      </c>
    </row>
    <row r="671" spans="2:12" x14ac:dyDescent="0.25">
      <c r="B671" s="15" t="s">
        <v>1458</v>
      </c>
      <c r="D671" s="1" t="s">
        <v>1479</v>
      </c>
      <c r="E671" s="15" t="s">
        <v>1476</v>
      </c>
      <c r="K671" s="7" t="str">
        <f t="shared" si="21"/>
        <v>Metter5</v>
      </c>
      <c r="L671" s="7" t="str">
        <f t="shared" si="22"/>
        <v>Set_CurentR</v>
      </c>
    </row>
    <row r="672" spans="2:12" x14ac:dyDescent="0.25">
      <c r="B672" s="15" t="s">
        <v>1459</v>
      </c>
      <c r="D672" s="1" t="s">
        <v>1479</v>
      </c>
      <c r="E672" s="15" t="s">
        <v>1477</v>
      </c>
      <c r="K672" s="7" t="str">
        <f t="shared" si="21"/>
        <v>Metter5</v>
      </c>
      <c r="L672" s="7" t="str">
        <f t="shared" si="22"/>
        <v>Set_CurentS</v>
      </c>
    </row>
    <row r="673" spans="2:12" x14ac:dyDescent="0.25">
      <c r="B673" s="15" t="s">
        <v>1460</v>
      </c>
      <c r="D673" s="1" t="s">
        <v>1479</v>
      </c>
      <c r="E673" s="15" t="s">
        <v>1478</v>
      </c>
      <c r="K673" s="7" t="str">
        <f t="shared" si="21"/>
        <v>Metter5</v>
      </c>
      <c r="L673" s="7" t="str">
        <f t="shared" si="22"/>
        <v>Set_CurentT</v>
      </c>
    </row>
    <row r="674" spans="2:12" x14ac:dyDescent="0.25">
      <c r="B674" s="15" t="s">
        <v>1461</v>
      </c>
      <c r="D674" s="1" t="s">
        <v>1479</v>
      </c>
      <c r="E674" s="15" t="s">
        <v>1476</v>
      </c>
      <c r="K674" s="7" t="str">
        <f t="shared" si="21"/>
        <v>Metter6</v>
      </c>
      <c r="L674" s="7" t="str">
        <f t="shared" si="22"/>
        <v>Set_CurentR</v>
      </c>
    </row>
    <row r="675" spans="2:12" x14ac:dyDescent="0.25">
      <c r="B675" s="15" t="s">
        <v>1462</v>
      </c>
      <c r="D675" s="1" t="s">
        <v>1479</v>
      </c>
      <c r="E675" s="15" t="s">
        <v>1477</v>
      </c>
      <c r="K675" s="7" t="str">
        <f t="shared" si="21"/>
        <v>Metter6</v>
      </c>
      <c r="L675" s="7" t="str">
        <f t="shared" si="22"/>
        <v>Set_CurentS</v>
      </c>
    </row>
    <row r="676" spans="2:12" x14ac:dyDescent="0.25">
      <c r="B676" s="15" t="s">
        <v>1463</v>
      </c>
      <c r="D676" s="1" t="s">
        <v>1479</v>
      </c>
      <c r="E676" s="15" t="s">
        <v>1478</v>
      </c>
      <c r="K676" s="7" t="str">
        <f t="shared" si="21"/>
        <v>Metter6</v>
      </c>
      <c r="L676" s="7" t="str">
        <f t="shared" si="22"/>
        <v>Set_CurentT</v>
      </c>
    </row>
    <row r="677" spans="2:12" x14ac:dyDescent="0.25">
      <c r="B677" s="15" t="s">
        <v>1464</v>
      </c>
      <c r="D677" s="1" t="s">
        <v>1479</v>
      </c>
      <c r="E677" s="15" t="s">
        <v>1476</v>
      </c>
      <c r="K677" s="7" t="str">
        <f t="shared" si="21"/>
        <v>Metter7</v>
      </c>
      <c r="L677" s="7" t="str">
        <f t="shared" si="22"/>
        <v>Set_CurentR</v>
      </c>
    </row>
    <row r="678" spans="2:12" x14ac:dyDescent="0.25">
      <c r="B678" s="15" t="s">
        <v>1465</v>
      </c>
      <c r="D678" s="1" t="s">
        <v>1479</v>
      </c>
      <c r="E678" s="15" t="s">
        <v>1477</v>
      </c>
      <c r="K678" s="7" t="str">
        <f t="shared" si="21"/>
        <v>Metter7</v>
      </c>
      <c r="L678" s="7" t="str">
        <f t="shared" si="22"/>
        <v>Set_CurentS</v>
      </c>
    </row>
    <row r="679" spans="2:12" x14ac:dyDescent="0.25">
      <c r="B679" s="15" t="s">
        <v>1466</v>
      </c>
      <c r="D679" s="1" t="s">
        <v>1479</v>
      </c>
      <c r="E679" s="15" t="s">
        <v>1478</v>
      </c>
      <c r="K679" s="7" t="str">
        <f t="shared" si="21"/>
        <v>Metter7</v>
      </c>
      <c r="L679" s="7" t="str">
        <f t="shared" si="22"/>
        <v>Set_CurentT</v>
      </c>
    </row>
    <row r="680" spans="2:12" x14ac:dyDescent="0.25">
      <c r="B680" s="15" t="s">
        <v>1467</v>
      </c>
      <c r="D680" s="1" t="s">
        <v>1479</v>
      </c>
      <c r="E680" s="15" t="s">
        <v>1476</v>
      </c>
      <c r="K680" s="7" t="str">
        <f t="shared" si="21"/>
        <v>Metter8</v>
      </c>
      <c r="L680" s="7" t="str">
        <f t="shared" si="22"/>
        <v>Set_CurentR</v>
      </c>
    </row>
    <row r="681" spans="2:12" x14ac:dyDescent="0.25">
      <c r="B681" s="15" t="s">
        <v>1468</v>
      </c>
      <c r="D681" s="1" t="s">
        <v>1479</v>
      </c>
      <c r="E681" s="15" t="s">
        <v>1477</v>
      </c>
      <c r="K681" s="7" t="str">
        <f t="shared" si="21"/>
        <v>Metter8</v>
      </c>
      <c r="L681" s="7" t="str">
        <f t="shared" si="22"/>
        <v>Set_CurentS</v>
      </c>
    </row>
    <row r="682" spans="2:12" x14ac:dyDescent="0.25">
      <c r="B682" s="15" t="s">
        <v>1469</v>
      </c>
      <c r="D682" s="1" t="s">
        <v>1479</v>
      </c>
      <c r="E682" s="15" t="s">
        <v>1478</v>
      </c>
      <c r="K682" s="7" t="str">
        <f t="shared" si="21"/>
        <v>Metter8</v>
      </c>
      <c r="L682" s="7" t="str">
        <f t="shared" si="22"/>
        <v>Set_CurentT</v>
      </c>
    </row>
    <row r="683" spans="2:12" x14ac:dyDescent="0.25">
      <c r="B683" s="15" t="s">
        <v>1470</v>
      </c>
      <c r="D683" s="1" t="s">
        <v>1479</v>
      </c>
      <c r="E683" s="15" t="s">
        <v>1476</v>
      </c>
      <c r="K683" s="7" t="str">
        <f t="shared" si="21"/>
        <v>Metter9</v>
      </c>
      <c r="L683" s="7" t="str">
        <f t="shared" si="22"/>
        <v>Set_CurentR</v>
      </c>
    </row>
    <row r="684" spans="2:12" x14ac:dyDescent="0.25">
      <c r="B684" s="15" t="s">
        <v>1471</v>
      </c>
      <c r="D684" s="1" t="s">
        <v>1479</v>
      </c>
      <c r="E684" s="15" t="s">
        <v>1477</v>
      </c>
      <c r="K684" s="7" t="str">
        <f t="shared" si="21"/>
        <v>Metter9</v>
      </c>
      <c r="L684" s="7" t="str">
        <f t="shared" si="22"/>
        <v>Set_CurentS</v>
      </c>
    </row>
    <row r="685" spans="2:12" x14ac:dyDescent="0.25">
      <c r="B685" s="15" t="s">
        <v>1472</v>
      </c>
      <c r="D685" s="1" t="s">
        <v>1479</v>
      </c>
      <c r="E685" s="15" t="s">
        <v>1478</v>
      </c>
      <c r="K685" s="7" t="str">
        <f t="shared" si="21"/>
        <v>Metter9</v>
      </c>
      <c r="L685" s="7" t="str">
        <f t="shared" si="22"/>
        <v>Set_CurentT</v>
      </c>
    </row>
    <row r="686" spans="2:12" x14ac:dyDescent="0.25">
      <c r="B686" s="15" t="s">
        <v>1473</v>
      </c>
      <c r="D686" s="1" t="s">
        <v>1479</v>
      </c>
      <c r="E686" s="15" t="s">
        <v>1476</v>
      </c>
      <c r="K686" s="7" t="str">
        <f t="shared" si="21"/>
        <v>Metter10</v>
      </c>
      <c r="L686" s="7" t="str">
        <f t="shared" si="22"/>
        <v>Set_CurentR</v>
      </c>
    </row>
    <row r="687" spans="2:12" x14ac:dyDescent="0.25">
      <c r="B687" s="15" t="s">
        <v>1474</v>
      </c>
      <c r="D687" s="1" t="s">
        <v>1479</v>
      </c>
      <c r="E687" s="15" t="s">
        <v>1477</v>
      </c>
      <c r="K687" s="7" t="str">
        <f t="shared" si="21"/>
        <v>Metter10</v>
      </c>
      <c r="L687" s="7" t="str">
        <f t="shared" si="22"/>
        <v>Set_CurentS</v>
      </c>
    </row>
    <row r="688" spans="2:12" x14ac:dyDescent="0.25">
      <c r="B688" s="15" t="s">
        <v>1475</v>
      </c>
      <c r="D688" s="1" t="s">
        <v>1479</v>
      </c>
      <c r="E688" s="15" t="s">
        <v>1478</v>
      </c>
      <c r="K688" s="7" t="str">
        <f t="shared" si="21"/>
        <v>Metter10</v>
      </c>
      <c r="L688" s="7" t="str">
        <f t="shared" si="22"/>
        <v>Set_CurentT</v>
      </c>
    </row>
  </sheetData>
  <mergeCells count="13">
    <mergeCell ref="G284:G339"/>
    <mergeCell ref="G4:G59"/>
    <mergeCell ref="G60:G115"/>
    <mergeCell ref="G116:G171"/>
    <mergeCell ref="G172:G227"/>
    <mergeCell ref="G228:G283"/>
    <mergeCell ref="G600:G603"/>
    <mergeCell ref="G340:G395"/>
    <mergeCell ref="G396:G451"/>
    <mergeCell ref="G452:G507"/>
    <mergeCell ref="G508:G563"/>
    <mergeCell ref="G564:G595"/>
    <mergeCell ref="G596:G59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5D36-DD8C-4A64-9F59-6DFFB22A8AAF}">
  <dimension ref="A1:L688"/>
  <sheetViews>
    <sheetView workbookViewId="0">
      <pane ySplit="3" topLeftCell="A508" activePane="bottomLeft" state="frozen"/>
      <selection pane="bottomLeft" activeCell="H535" sqref="H535"/>
    </sheetView>
  </sheetViews>
  <sheetFormatPr defaultRowHeight="15" x14ac:dyDescent="0.25"/>
  <cols>
    <col min="1" max="1" width="4.7109375" style="1" customWidth="1"/>
    <col min="2" max="2" width="34" customWidth="1"/>
    <col min="3" max="3" width="16" style="1" customWidth="1"/>
    <col min="4" max="4" width="11.42578125" style="1" customWidth="1"/>
    <col min="5" max="5" width="36.42578125" customWidth="1"/>
    <col min="7" max="7" width="15.85546875" customWidth="1"/>
    <col min="8" max="8" width="29.85546875" customWidth="1"/>
    <col min="11" max="11" width="19.28515625" customWidth="1"/>
    <col min="12" max="12" width="20.85546875" customWidth="1"/>
  </cols>
  <sheetData>
    <row r="1" spans="1:12" x14ac:dyDescent="0.25">
      <c r="F1" s="6" t="s">
        <v>1382</v>
      </c>
      <c r="G1" s="8"/>
      <c r="H1" s="8"/>
    </row>
    <row r="2" spans="1:12" x14ac:dyDescent="0.25">
      <c r="A2" s="5" t="s">
        <v>1</v>
      </c>
      <c r="B2" s="5" t="s">
        <v>0</v>
      </c>
      <c r="C2" s="5" t="s">
        <v>2</v>
      </c>
      <c r="D2" s="5" t="s">
        <v>3</v>
      </c>
      <c r="E2" s="5" t="s">
        <v>4</v>
      </c>
      <c r="H2" s="8" t="s">
        <v>1481</v>
      </c>
      <c r="I2" s="6" t="s">
        <v>1383</v>
      </c>
      <c r="J2" s="6" t="s">
        <v>1384</v>
      </c>
      <c r="K2" s="6" t="s">
        <v>1387</v>
      </c>
      <c r="L2" s="6" t="s">
        <v>0</v>
      </c>
    </row>
    <row r="3" spans="1:12" x14ac:dyDescent="0.25">
      <c r="A3" s="4" t="s">
        <v>1381</v>
      </c>
      <c r="B3" s="4"/>
      <c r="C3" s="4"/>
      <c r="D3" s="4"/>
      <c r="E3" s="4"/>
      <c r="I3" t="s">
        <v>1385</v>
      </c>
      <c r="J3" t="s">
        <v>1386</v>
      </c>
    </row>
    <row r="4" spans="1:12" x14ac:dyDescent="0.25">
      <c r="A4" s="2">
        <v>1</v>
      </c>
      <c r="B4" s="3" t="s">
        <v>5</v>
      </c>
      <c r="C4" s="2" t="s">
        <v>6</v>
      </c>
      <c r="D4" s="2" t="s">
        <v>7</v>
      </c>
      <c r="E4" s="3" t="s">
        <v>1355</v>
      </c>
      <c r="G4" s="18" t="s">
        <v>1489</v>
      </c>
      <c r="K4" s="7" t="str">
        <f>LEFT(B4, SEARCH("_",B4 ) - 1)</f>
        <v>Pump1</v>
      </c>
      <c r="L4" t="str">
        <f>RIGHT(B4,LEN(B4)-6)</f>
        <v>FB_auto</v>
      </c>
    </row>
    <row r="5" spans="1:12" x14ac:dyDescent="0.25">
      <c r="A5" s="2">
        <v>2</v>
      </c>
      <c r="B5" s="3" t="s">
        <v>8</v>
      </c>
      <c r="C5" s="2" t="s">
        <v>9</v>
      </c>
      <c r="D5" s="2" t="s">
        <v>7</v>
      </c>
      <c r="E5" s="3" t="s">
        <v>1306</v>
      </c>
      <c r="G5" s="18"/>
      <c r="H5" t="s">
        <v>1497</v>
      </c>
      <c r="K5" s="7" t="str">
        <f t="shared" ref="K5:K70" si="0">LEFT(B5, SEARCH("_",B5 ) - 1)</f>
        <v>Pump1</v>
      </c>
      <c r="L5" t="str">
        <f t="shared" ref="L5:L10" si="1">RIGHT(B5,LEN(B5)-6)</f>
        <v>FB_Run</v>
      </c>
    </row>
    <row r="6" spans="1:12" x14ac:dyDescent="0.25">
      <c r="A6" s="2">
        <v>3</v>
      </c>
      <c r="B6" s="3" t="s">
        <v>10</v>
      </c>
      <c r="C6" s="2" t="s">
        <v>11</v>
      </c>
      <c r="D6" s="2" t="s">
        <v>7</v>
      </c>
      <c r="E6" s="3" t="s">
        <v>1307</v>
      </c>
      <c r="G6" s="18"/>
      <c r="K6" s="7" t="str">
        <f t="shared" si="0"/>
        <v>Pump1</v>
      </c>
      <c r="L6" t="str">
        <f t="shared" si="1"/>
        <v>FB_Fault_V</v>
      </c>
    </row>
    <row r="7" spans="1:12" x14ac:dyDescent="0.25">
      <c r="A7" s="2">
        <v>4</v>
      </c>
      <c r="B7" s="3" t="s">
        <v>12</v>
      </c>
      <c r="C7" s="2" t="s">
        <v>13</v>
      </c>
      <c r="D7" s="2" t="s">
        <v>7</v>
      </c>
      <c r="E7" s="3" t="s">
        <v>1307</v>
      </c>
      <c r="G7" s="18"/>
      <c r="H7" t="s">
        <v>1499</v>
      </c>
      <c r="K7" s="7" t="str">
        <f t="shared" si="0"/>
        <v>Pump1</v>
      </c>
      <c r="L7" t="str">
        <f t="shared" si="1"/>
        <v>FB_Fault_SS</v>
      </c>
    </row>
    <row r="8" spans="1:12" x14ac:dyDescent="0.25">
      <c r="A8" s="2">
        <v>5</v>
      </c>
      <c r="B8" s="3" t="s">
        <v>14</v>
      </c>
      <c r="C8" s="2" t="s">
        <v>15</v>
      </c>
      <c r="D8" s="2" t="s">
        <v>7</v>
      </c>
      <c r="E8" s="3" t="s">
        <v>1356</v>
      </c>
      <c r="G8" s="18"/>
      <c r="K8" s="7" t="str">
        <f t="shared" si="0"/>
        <v>Pump1</v>
      </c>
      <c r="L8" t="str">
        <f t="shared" si="1"/>
        <v>FB_Fault_Temp</v>
      </c>
    </row>
    <row r="9" spans="1:12" x14ac:dyDescent="0.25">
      <c r="A9" s="2">
        <v>6</v>
      </c>
      <c r="B9" s="3" t="s">
        <v>16</v>
      </c>
      <c r="C9" s="2" t="s">
        <v>17</v>
      </c>
      <c r="D9" s="2" t="s">
        <v>7</v>
      </c>
      <c r="E9" s="3" t="s">
        <v>1307</v>
      </c>
      <c r="G9" s="18"/>
      <c r="K9" s="7" t="str">
        <f t="shared" si="0"/>
        <v>Pump1</v>
      </c>
      <c r="L9" t="str">
        <f t="shared" si="1"/>
        <v>FB_Fault_Curent</v>
      </c>
    </row>
    <row r="10" spans="1:12" x14ac:dyDescent="0.25">
      <c r="A10" s="2">
        <v>7</v>
      </c>
      <c r="B10" s="3" t="s">
        <v>18</v>
      </c>
      <c r="C10" s="2" t="s">
        <v>19</v>
      </c>
      <c r="D10" s="2" t="s">
        <v>7</v>
      </c>
      <c r="E10" s="3" t="s">
        <v>1357</v>
      </c>
      <c r="G10" s="18"/>
      <c r="K10" s="7" t="str">
        <f t="shared" si="0"/>
        <v>Pump1</v>
      </c>
      <c r="L10" t="str">
        <f t="shared" si="1"/>
        <v>Clock_1m</v>
      </c>
    </row>
    <row r="11" spans="1:12" x14ac:dyDescent="0.25">
      <c r="A11" s="2">
        <v>8</v>
      </c>
      <c r="B11" s="3" t="s">
        <v>20</v>
      </c>
      <c r="C11" s="2" t="s">
        <v>21</v>
      </c>
      <c r="D11" s="2" t="s">
        <v>7</v>
      </c>
      <c r="E11" s="3" t="s">
        <v>1358</v>
      </c>
      <c r="G11" s="18"/>
      <c r="H11" t="s">
        <v>1498</v>
      </c>
      <c r="K11" s="7" t="str">
        <f t="shared" si="0"/>
        <v>Pump1</v>
      </c>
      <c r="L11" s="7" t="str">
        <f t="shared" ref="L11:L75" si="2">RIGHT(B11, LEN(B11)-SEARCH("_",B11 ))</f>
        <v>FB_stop</v>
      </c>
    </row>
    <row r="12" spans="1:12" x14ac:dyDescent="0.25">
      <c r="A12" s="2">
        <v>8</v>
      </c>
      <c r="B12" s="12" t="s">
        <v>1392</v>
      </c>
      <c r="C12" s="2" t="s">
        <v>21</v>
      </c>
      <c r="D12" s="2" t="s">
        <v>7</v>
      </c>
      <c r="E12" s="3" t="s">
        <v>1393</v>
      </c>
      <c r="G12" s="18"/>
      <c r="H12" t="s">
        <v>1494</v>
      </c>
      <c r="K12" s="7" t="str">
        <f t="shared" si="0"/>
        <v>Pump1</v>
      </c>
      <c r="L12" s="7" t="str">
        <f t="shared" si="2"/>
        <v>FB_maintenance</v>
      </c>
    </row>
    <row r="13" spans="1:12" x14ac:dyDescent="0.25">
      <c r="A13" s="2">
        <v>9</v>
      </c>
      <c r="B13" s="3" t="s">
        <v>22</v>
      </c>
      <c r="C13" s="2" t="s">
        <v>23</v>
      </c>
      <c r="D13" s="2" t="s">
        <v>24</v>
      </c>
      <c r="E13" s="3" t="s">
        <v>1352</v>
      </c>
      <c r="G13" s="18"/>
      <c r="K13" s="7" t="str">
        <f t="shared" si="0"/>
        <v>Pump1</v>
      </c>
      <c r="L13" s="7" t="str">
        <f t="shared" si="2"/>
        <v>FB_Temp_DEBearing</v>
      </c>
    </row>
    <row r="14" spans="1:12" x14ac:dyDescent="0.25">
      <c r="A14" s="2">
        <v>10</v>
      </c>
      <c r="B14" s="3" t="s">
        <v>25</v>
      </c>
      <c r="C14" s="2" t="s">
        <v>26</v>
      </c>
      <c r="D14" s="2" t="s">
        <v>24</v>
      </c>
      <c r="E14" s="3" t="s">
        <v>1353</v>
      </c>
      <c r="G14" s="18"/>
      <c r="K14" s="7" t="str">
        <f t="shared" si="0"/>
        <v>Pump1</v>
      </c>
      <c r="L14" s="7" t="str">
        <f t="shared" si="2"/>
        <v>FB_Temp_NDEBearing</v>
      </c>
    </row>
    <row r="15" spans="1:12" x14ac:dyDescent="0.25">
      <c r="A15" s="2">
        <v>11</v>
      </c>
      <c r="B15" s="3" t="s">
        <v>27</v>
      </c>
      <c r="C15" s="2" t="s">
        <v>28</v>
      </c>
      <c r="D15" s="2" t="s">
        <v>24</v>
      </c>
      <c r="E15" s="3" t="s">
        <v>1308</v>
      </c>
      <c r="G15" s="18"/>
      <c r="K15" s="7" t="str">
        <f t="shared" si="0"/>
        <v>Pump1</v>
      </c>
      <c r="L15" s="7" t="str">
        <f t="shared" si="2"/>
        <v>FB_Temp_PhaseA</v>
      </c>
    </row>
    <row r="16" spans="1:12" x14ac:dyDescent="0.25">
      <c r="A16" s="2">
        <v>12</v>
      </c>
      <c r="B16" s="3" t="s">
        <v>29</v>
      </c>
      <c r="C16" s="2" t="s">
        <v>30</v>
      </c>
      <c r="D16" s="2" t="s">
        <v>24</v>
      </c>
      <c r="E16" s="3" t="s">
        <v>1309</v>
      </c>
      <c r="G16" s="18"/>
      <c r="K16" s="7" t="str">
        <f t="shared" si="0"/>
        <v>Pump1</v>
      </c>
      <c r="L16" s="7" t="str">
        <f t="shared" si="2"/>
        <v>FB_Temp_PhaseB</v>
      </c>
    </row>
    <row r="17" spans="1:12" x14ac:dyDescent="0.25">
      <c r="A17" s="2">
        <v>13</v>
      </c>
      <c r="B17" s="3" t="s">
        <v>31</v>
      </c>
      <c r="C17" s="2" t="s">
        <v>32</v>
      </c>
      <c r="D17" s="2" t="s">
        <v>24</v>
      </c>
      <c r="E17" s="3" t="s">
        <v>1310</v>
      </c>
      <c r="G17" s="18"/>
      <c r="K17" s="7" t="str">
        <f t="shared" si="0"/>
        <v>Pump1</v>
      </c>
      <c r="L17" s="7" t="str">
        <f t="shared" si="2"/>
        <v>FB_Temp_PhaseC</v>
      </c>
    </row>
    <row r="18" spans="1:12" x14ac:dyDescent="0.25">
      <c r="A18" s="2">
        <v>14</v>
      </c>
      <c r="B18" s="3" t="s">
        <v>33</v>
      </c>
      <c r="C18" s="2" t="s">
        <v>34</v>
      </c>
      <c r="D18" s="2" t="s">
        <v>35</v>
      </c>
      <c r="E18" s="3" t="s">
        <v>1315</v>
      </c>
      <c r="G18" s="18"/>
      <c r="K18" s="7" t="str">
        <f t="shared" si="0"/>
        <v>Meter1</v>
      </c>
      <c r="L18" s="7" t="str">
        <f t="shared" si="2"/>
        <v>U1</v>
      </c>
    </row>
    <row r="19" spans="1:12" x14ac:dyDescent="0.25">
      <c r="A19" s="2">
        <v>15</v>
      </c>
      <c r="B19" s="3" t="s">
        <v>36</v>
      </c>
      <c r="C19" s="2" t="s">
        <v>37</v>
      </c>
      <c r="D19" s="2" t="s">
        <v>35</v>
      </c>
      <c r="E19" s="3" t="s">
        <v>1316</v>
      </c>
      <c r="G19" s="18"/>
      <c r="K19" s="7" t="str">
        <f t="shared" si="0"/>
        <v>Meter1</v>
      </c>
      <c r="L19" s="7" t="str">
        <f t="shared" si="2"/>
        <v>U2</v>
      </c>
    </row>
    <row r="20" spans="1:12" x14ac:dyDescent="0.25">
      <c r="A20" s="2">
        <v>16</v>
      </c>
      <c r="B20" s="3" t="s">
        <v>38</v>
      </c>
      <c r="C20" s="2" t="s">
        <v>39</v>
      </c>
      <c r="D20" s="2" t="s">
        <v>35</v>
      </c>
      <c r="E20" s="3" t="s">
        <v>1317</v>
      </c>
      <c r="G20" s="18"/>
      <c r="K20" s="7" t="str">
        <f t="shared" si="0"/>
        <v>Meter1</v>
      </c>
      <c r="L20" s="7" t="str">
        <f t="shared" si="2"/>
        <v>U3</v>
      </c>
    </row>
    <row r="21" spans="1:12" x14ac:dyDescent="0.25">
      <c r="A21" s="2">
        <v>17</v>
      </c>
      <c r="B21" s="3" t="s">
        <v>40</v>
      </c>
      <c r="C21" s="2" t="s">
        <v>41</v>
      </c>
      <c r="D21" s="2" t="s">
        <v>35</v>
      </c>
      <c r="E21" s="3" t="s">
        <v>1318</v>
      </c>
      <c r="G21" s="18"/>
      <c r="K21" s="7" t="str">
        <f t="shared" si="0"/>
        <v>Meter1</v>
      </c>
      <c r="L21" s="7" t="str">
        <f t="shared" si="2"/>
        <v>U_Ph</v>
      </c>
    </row>
    <row r="22" spans="1:12" x14ac:dyDescent="0.25">
      <c r="A22" s="2">
        <v>18</v>
      </c>
      <c r="B22" s="3" t="s">
        <v>42</v>
      </c>
      <c r="C22" s="2" t="s">
        <v>43</v>
      </c>
      <c r="D22" s="2" t="s">
        <v>35</v>
      </c>
      <c r="E22" s="3" t="s">
        <v>1319</v>
      </c>
      <c r="G22" s="18"/>
      <c r="H22" t="s">
        <v>1486</v>
      </c>
      <c r="K22" s="7" t="str">
        <f t="shared" si="0"/>
        <v>Meter1</v>
      </c>
      <c r="L22" s="7" t="str">
        <f t="shared" si="2"/>
        <v>U12</v>
      </c>
    </row>
    <row r="23" spans="1:12" x14ac:dyDescent="0.25">
      <c r="A23" s="2">
        <v>19</v>
      </c>
      <c r="B23" s="3" t="s">
        <v>44</v>
      </c>
      <c r="C23" s="2" t="s">
        <v>45</v>
      </c>
      <c r="D23" s="2" t="s">
        <v>35</v>
      </c>
      <c r="E23" s="3" t="s">
        <v>1320</v>
      </c>
      <c r="G23" s="18"/>
      <c r="H23" t="s">
        <v>1487</v>
      </c>
      <c r="K23" s="7" t="str">
        <f t="shared" si="0"/>
        <v>Meter1</v>
      </c>
      <c r="L23" s="7" t="str">
        <f t="shared" si="2"/>
        <v>U23</v>
      </c>
    </row>
    <row r="24" spans="1:12" x14ac:dyDescent="0.25">
      <c r="A24" s="2">
        <v>20</v>
      </c>
      <c r="B24" s="3" t="s">
        <v>46</v>
      </c>
      <c r="C24" s="2" t="s">
        <v>47</v>
      </c>
      <c r="D24" s="2" t="s">
        <v>35</v>
      </c>
      <c r="E24" s="3" t="s">
        <v>1321</v>
      </c>
      <c r="G24" s="18"/>
      <c r="H24" t="s">
        <v>1488</v>
      </c>
      <c r="K24" s="7" t="str">
        <f t="shared" si="0"/>
        <v>Meter1</v>
      </c>
      <c r="L24" s="7" t="str">
        <f t="shared" si="2"/>
        <v>U31</v>
      </c>
    </row>
    <row r="25" spans="1:12" x14ac:dyDescent="0.25">
      <c r="A25" s="2">
        <v>21</v>
      </c>
      <c r="B25" s="3" t="s">
        <v>48</v>
      </c>
      <c r="C25" s="2" t="s">
        <v>49</v>
      </c>
      <c r="D25" s="2" t="s">
        <v>35</v>
      </c>
      <c r="E25" s="3" t="s">
        <v>1322</v>
      </c>
      <c r="G25" s="18"/>
      <c r="K25" s="7" t="str">
        <f t="shared" si="0"/>
        <v>Meter1</v>
      </c>
      <c r="L25" s="7" t="str">
        <f t="shared" si="2"/>
        <v>Uline</v>
      </c>
    </row>
    <row r="26" spans="1:12" x14ac:dyDescent="0.25">
      <c r="A26" s="2">
        <v>22</v>
      </c>
      <c r="B26" s="3" t="s">
        <v>50</v>
      </c>
      <c r="C26" s="2" t="s">
        <v>51</v>
      </c>
      <c r="D26" s="2" t="s">
        <v>35</v>
      </c>
      <c r="E26" s="3" t="s">
        <v>1312</v>
      </c>
      <c r="G26" s="18"/>
      <c r="H26" s="7" t="s">
        <v>1483</v>
      </c>
      <c r="K26" s="7" t="str">
        <f t="shared" si="0"/>
        <v>Meter1</v>
      </c>
      <c r="L26" s="7" t="str">
        <f t="shared" si="2"/>
        <v>I1</v>
      </c>
    </row>
    <row r="27" spans="1:12" x14ac:dyDescent="0.25">
      <c r="A27" s="2">
        <v>23</v>
      </c>
      <c r="B27" s="3" t="s">
        <v>52</v>
      </c>
      <c r="C27" s="2" t="s">
        <v>53</v>
      </c>
      <c r="D27" s="2" t="s">
        <v>35</v>
      </c>
      <c r="E27" s="3" t="s">
        <v>1313</v>
      </c>
      <c r="G27" s="18"/>
      <c r="H27" s="7" t="s">
        <v>1484</v>
      </c>
      <c r="K27" s="7" t="str">
        <f t="shared" si="0"/>
        <v>Meter1</v>
      </c>
      <c r="L27" s="7" t="str">
        <f t="shared" si="2"/>
        <v>I2</v>
      </c>
    </row>
    <row r="28" spans="1:12" x14ac:dyDescent="0.25">
      <c r="A28" s="2">
        <v>24</v>
      </c>
      <c r="B28" s="3" t="s">
        <v>54</v>
      </c>
      <c r="C28" s="2" t="s">
        <v>55</v>
      </c>
      <c r="D28" s="2" t="s">
        <v>35</v>
      </c>
      <c r="E28" s="3" t="s">
        <v>1314</v>
      </c>
      <c r="G28" s="18"/>
      <c r="H28" s="7" t="s">
        <v>1485</v>
      </c>
      <c r="K28" s="7" t="str">
        <f t="shared" si="0"/>
        <v>Meter1</v>
      </c>
      <c r="L28" s="7" t="str">
        <f t="shared" si="2"/>
        <v>I3</v>
      </c>
    </row>
    <row r="29" spans="1:12" x14ac:dyDescent="0.25">
      <c r="A29" s="2">
        <v>25</v>
      </c>
      <c r="B29" s="3" t="s">
        <v>56</v>
      </c>
      <c r="C29" s="2" t="s">
        <v>57</v>
      </c>
      <c r="D29" s="2" t="s">
        <v>35</v>
      </c>
      <c r="E29" s="3" t="s">
        <v>1311</v>
      </c>
      <c r="G29" s="18"/>
      <c r="H29" s="3" t="s">
        <v>1311</v>
      </c>
      <c r="K29" s="7" t="str">
        <f t="shared" si="0"/>
        <v>Meter1</v>
      </c>
      <c r="L29" s="7" t="str">
        <f t="shared" si="2"/>
        <v>I_ph</v>
      </c>
    </row>
    <row r="30" spans="1:12" x14ac:dyDescent="0.25">
      <c r="A30" s="2">
        <v>26</v>
      </c>
      <c r="B30" s="3" t="s">
        <v>58</v>
      </c>
      <c r="C30" s="2" t="s">
        <v>59</v>
      </c>
      <c r="D30" s="2" t="s">
        <v>35</v>
      </c>
      <c r="E30" s="3" t="s">
        <v>1323</v>
      </c>
      <c r="G30" s="18"/>
      <c r="K30" s="7" t="str">
        <f t="shared" si="0"/>
        <v>Meter1</v>
      </c>
      <c r="L30" s="7" t="str">
        <f t="shared" si="2"/>
        <v>kw1</v>
      </c>
    </row>
    <row r="31" spans="1:12" x14ac:dyDescent="0.25">
      <c r="A31" s="2">
        <v>27</v>
      </c>
      <c r="B31" s="3" t="s">
        <v>60</v>
      </c>
      <c r="C31" s="2" t="s">
        <v>61</v>
      </c>
      <c r="D31" s="2" t="s">
        <v>35</v>
      </c>
      <c r="E31" s="3" t="s">
        <v>1324</v>
      </c>
      <c r="G31" s="18"/>
      <c r="K31" s="7" t="str">
        <f t="shared" si="0"/>
        <v>Meter1</v>
      </c>
      <c r="L31" s="7" t="str">
        <f t="shared" si="2"/>
        <v>kw2</v>
      </c>
    </row>
    <row r="32" spans="1:12" x14ac:dyDescent="0.25">
      <c r="A32" s="2">
        <v>28</v>
      </c>
      <c r="B32" s="3" t="s">
        <v>62</v>
      </c>
      <c r="C32" s="2" t="s">
        <v>63</v>
      </c>
      <c r="D32" s="2" t="s">
        <v>35</v>
      </c>
      <c r="E32" s="3" t="s">
        <v>1325</v>
      </c>
      <c r="G32" s="18"/>
      <c r="K32" s="7" t="str">
        <f t="shared" si="0"/>
        <v>Meter1</v>
      </c>
      <c r="L32" s="7" t="str">
        <f t="shared" si="2"/>
        <v>kw3</v>
      </c>
    </row>
    <row r="33" spans="1:12" x14ac:dyDescent="0.25">
      <c r="A33" s="2">
        <v>29</v>
      </c>
      <c r="B33" s="3" t="s">
        <v>64</v>
      </c>
      <c r="C33" s="2" t="s">
        <v>65</v>
      </c>
      <c r="D33" s="2" t="s">
        <v>35</v>
      </c>
      <c r="E33" s="3" t="s">
        <v>1326</v>
      </c>
      <c r="G33" s="18"/>
      <c r="K33" s="7" t="str">
        <f t="shared" si="0"/>
        <v>Meter1</v>
      </c>
      <c r="L33" s="7" t="str">
        <f t="shared" si="2"/>
        <v>kva1</v>
      </c>
    </row>
    <row r="34" spans="1:12" x14ac:dyDescent="0.25">
      <c r="A34" s="2">
        <v>30</v>
      </c>
      <c r="B34" s="3" t="s">
        <v>66</v>
      </c>
      <c r="C34" s="2" t="s">
        <v>67</v>
      </c>
      <c r="D34" s="2" t="s">
        <v>35</v>
      </c>
      <c r="E34" s="3" t="s">
        <v>1327</v>
      </c>
      <c r="G34" s="18"/>
      <c r="K34" s="7" t="str">
        <f t="shared" si="0"/>
        <v>Meter1</v>
      </c>
      <c r="L34" s="7" t="str">
        <f t="shared" si="2"/>
        <v>kva2</v>
      </c>
    </row>
    <row r="35" spans="1:12" x14ac:dyDescent="0.25">
      <c r="A35" s="2">
        <v>31</v>
      </c>
      <c r="B35" s="3" t="s">
        <v>68</v>
      </c>
      <c r="C35" s="2" t="s">
        <v>69</v>
      </c>
      <c r="D35" s="2" t="s">
        <v>35</v>
      </c>
      <c r="E35" s="3" t="s">
        <v>1328</v>
      </c>
      <c r="G35" s="18"/>
      <c r="K35" s="7" t="str">
        <f t="shared" si="0"/>
        <v>Meter1</v>
      </c>
      <c r="L35" s="7" t="str">
        <f t="shared" si="2"/>
        <v>kva3</v>
      </c>
    </row>
    <row r="36" spans="1:12" x14ac:dyDescent="0.25">
      <c r="A36" s="2">
        <v>32</v>
      </c>
      <c r="B36" s="3" t="s">
        <v>70</v>
      </c>
      <c r="C36" s="2" t="s">
        <v>71</v>
      </c>
      <c r="D36" s="2" t="s">
        <v>35</v>
      </c>
      <c r="E36" s="3" t="s">
        <v>1329</v>
      </c>
      <c r="G36" s="18"/>
      <c r="K36" s="7" t="str">
        <f t="shared" si="0"/>
        <v>Meter1</v>
      </c>
      <c r="L36" s="7" t="str">
        <f t="shared" si="2"/>
        <v>kvar1</v>
      </c>
    </row>
    <row r="37" spans="1:12" x14ac:dyDescent="0.25">
      <c r="A37" s="2">
        <v>33</v>
      </c>
      <c r="B37" s="3" t="s">
        <v>72</v>
      </c>
      <c r="C37" s="2" t="s">
        <v>73</v>
      </c>
      <c r="D37" s="2" t="s">
        <v>35</v>
      </c>
      <c r="E37" s="3" t="s">
        <v>1330</v>
      </c>
      <c r="G37" s="18"/>
      <c r="K37" s="7" t="str">
        <f t="shared" si="0"/>
        <v>Meter1</v>
      </c>
      <c r="L37" s="7" t="str">
        <f t="shared" si="2"/>
        <v>kvar2</v>
      </c>
    </row>
    <row r="38" spans="1:12" x14ac:dyDescent="0.25">
      <c r="A38" s="2">
        <v>34</v>
      </c>
      <c r="B38" s="3" t="s">
        <v>74</v>
      </c>
      <c r="C38" s="2" t="s">
        <v>75</v>
      </c>
      <c r="D38" s="2" t="s">
        <v>35</v>
      </c>
      <c r="E38" s="3" t="s">
        <v>1331</v>
      </c>
      <c r="G38" s="18"/>
      <c r="K38" s="7" t="str">
        <f t="shared" si="0"/>
        <v>Meter1</v>
      </c>
      <c r="L38" s="7" t="str">
        <f t="shared" si="2"/>
        <v>kvar3</v>
      </c>
    </row>
    <row r="39" spans="1:12" x14ac:dyDescent="0.25">
      <c r="A39" s="2">
        <v>35</v>
      </c>
      <c r="B39" s="3" t="s">
        <v>76</v>
      </c>
      <c r="C39" s="2" t="s">
        <v>77</v>
      </c>
      <c r="D39" s="2" t="s">
        <v>35</v>
      </c>
      <c r="E39" s="3" t="s">
        <v>1332</v>
      </c>
      <c r="G39" s="18"/>
      <c r="K39" s="7" t="str">
        <f t="shared" si="0"/>
        <v>Meter1</v>
      </c>
      <c r="L39" s="7" t="str">
        <f t="shared" si="2"/>
        <v>total_kw</v>
      </c>
    </row>
    <row r="40" spans="1:12" x14ac:dyDescent="0.25">
      <c r="A40" s="2">
        <v>36</v>
      </c>
      <c r="B40" s="3" t="s">
        <v>78</v>
      </c>
      <c r="C40" s="2" t="s">
        <v>79</v>
      </c>
      <c r="D40" s="2" t="s">
        <v>35</v>
      </c>
      <c r="E40" s="3" t="s">
        <v>1333</v>
      </c>
      <c r="G40" s="18"/>
      <c r="K40" s="7" t="str">
        <f t="shared" si="0"/>
        <v>Meter1</v>
      </c>
      <c r="L40" s="7" t="str">
        <f t="shared" si="2"/>
        <v>total_kva</v>
      </c>
    </row>
    <row r="41" spans="1:12" x14ac:dyDescent="0.25">
      <c r="A41" s="2">
        <v>37</v>
      </c>
      <c r="B41" s="3" t="s">
        <v>80</v>
      </c>
      <c r="C41" s="2" t="s">
        <v>81</v>
      </c>
      <c r="D41" s="2" t="s">
        <v>35</v>
      </c>
      <c r="E41" s="3" t="s">
        <v>1334</v>
      </c>
      <c r="G41" s="18"/>
      <c r="K41" s="7" t="str">
        <f t="shared" si="0"/>
        <v>Meter1</v>
      </c>
      <c r="L41" s="7" t="str">
        <f t="shared" si="2"/>
        <v>total_kvar</v>
      </c>
    </row>
    <row r="42" spans="1:12" x14ac:dyDescent="0.25">
      <c r="A42" s="2">
        <v>38</v>
      </c>
      <c r="B42" s="3" t="s">
        <v>82</v>
      </c>
      <c r="C42" s="2" t="s">
        <v>83</v>
      </c>
      <c r="D42" s="2" t="s">
        <v>35</v>
      </c>
      <c r="E42" s="3" t="s">
        <v>1335</v>
      </c>
      <c r="G42" s="18"/>
      <c r="K42" s="7" t="str">
        <f t="shared" si="0"/>
        <v>Meter1</v>
      </c>
      <c r="L42" s="7" t="str">
        <f t="shared" si="2"/>
        <v>PF1</v>
      </c>
    </row>
    <row r="43" spans="1:12" x14ac:dyDescent="0.25">
      <c r="A43" s="2">
        <v>39</v>
      </c>
      <c r="B43" s="3" t="s">
        <v>84</v>
      </c>
      <c r="C43" s="2" t="s">
        <v>85</v>
      </c>
      <c r="D43" s="2" t="s">
        <v>35</v>
      </c>
      <c r="E43" s="3" t="s">
        <v>1336</v>
      </c>
      <c r="G43" s="18"/>
      <c r="K43" s="7" t="str">
        <f t="shared" si="0"/>
        <v>Meter1</v>
      </c>
      <c r="L43" s="7" t="str">
        <f t="shared" si="2"/>
        <v>PF2</v>
      </c>
    </row>
    <row r="44" spans="1:12" x14ac:dyDescent="0.25">
      <c r="A44" s="2">
        <v>40</v>
      </c>
      <c r="B44" s="3" t="s">
        <v>86</v>
      </c>
      <c r="C44" s="2" t="s">
        <v>87</v>
      </c>
      <c r="D44" s="2" t="s">
        <v>35</v>
      </c>
      <c r="E44" s="3" t="s">
        <v>1337</v>
      </c>
      <c r="G44" s="18"/>
      <c r="K44" s="7" t="str">
        <f t="shared" si="0"/>
        <v>Meter1</v>
      </c>
      <c r="L44" s="7" t="str">
        <f t="shared" si="2"/>
        <v>PF3</v>
      </c>
    </row>
    <row r="45" spans="1:12" x14ac:dyDescent="0.25">
      <c r="A45" s="2">
        <v>41</v>
      </c>
      <c r="B45" s="3" t="s">
        <v>88</v>
      </c>
      <c r="C45" s="2" t="s">
        <v>89</v>
      </c>
      <c r="D45" s="2" t="s">
        <v>35</v>
      </c>
      <c r="E45" s="3" t="s">
        <v>1338</v>
      </c>
      <c r="G45" s="18"/>
      <c r="K45" s="7" t="str">
        <f t="shared" si="0"/>
        <v>Meter1</v>
      </c>
      <c r="L45" s="7" t="str">
        <f t="shared" si="2"/>
        <v>PF</v>
      </c>
    </row>
    <row r="46" spans="1:12" x14ac:dyDescent="0.25">
      <c r="A46" s="2">
        <v>42</v>
      </c>
      <c r="B46" s="3" t="s">
        <v>90</v>
      </c>
      <c r="C46" s="2" t="s">
        <v>91</v>
      </c>
      <c r="D46" s="2" t="s">
        <v>35</v>
      </c>
      <c r="E46" s="3" t="s">
        <v>1339</v>
      </c>
      <c r="G46" s="18"/>
      <c r="K46" s="7" t="str">
        <f t="shared" si="0"/>
        <v>Meter1</v>
      </c>
      <c r="L46" s="7" t="str">
        <f t="shared" si="2"/>
        <v>freq</v>
      </c>
    </row>
    <row r="47" spans="1:12" x14ac:dyDescent="0.25">
      <c r="A47" s="2">
        <v>43</v>
      </c>
      <c r="B47" s="3" t="s">
        <v>92</v>
      </c>
      <c r="C47" s="2" t="s">
        <v>93</v>
      </c>
      <c r="D47" s="2" t="s">
        <v>35</v>
      </c>
      <c r="E47" s="3" t="s">
        <v>1340</v>
      </c>
      <c r="G47" s="18"/>
      <c r="K47" s="7" t="str">
        <f t="shared" si="0"/>
        <v>Meter1</v>
      </c>
      <c r="L47" s="7" t="str">
        <f t="shared" si="2"/>
        <v>kwh</v>
      </c>
    </row>
    <row r="48" spans="1:12" x14ac:dyDescent="0.25">
      <c r="A48" s="2">
        <v>44</v>
      </c>
      <c r="B48" s="3" t="s">
        <v>94</v>
      </c>
      <c r="C48" s="2" t="s">
        <v>95</v>
      </c>
      <c r="D48" s="2" t="s">
        <v>35</v>
      </c>
      <c r="E48" s="3" t="s">
        <v>1341</v>
      </c>
      <c r="G48" s="18"/>
      <c r="K48" s="7" t="str">
        <f t="shared" si="0"/>
        <v>Meter1</v>
      </c>
      <c r="L48" s="7" t="str">
        <f t="shared" si="2"/>
        <v>kvah</v>
      </c>
    </row>
    <row r="49" spans="1:12" x14ac:dyDescent="0.25">
      <c r="A49" s="2">
        <v>45</v>
      </c>
      <c r="B49" s="3" t="s">
        <v>96</v>
      </c>
      <c r="C49" s="2" t="s">
        <v>97</v>
      </c>
      <c r="D49" s="2" t="s">
        <v>35</v>
      </c>
      <c r="E49" s="3" t="s">
        <v>1342</v>
      </c>
      <c r="G49" s="18"/>
      <c r="K49" s="7" t="str">
        <f t="shared" si="0"/>
        <v>Meter1</v>
      </c>
      <c r="L49" s="7" t="str">
        <f t="shared" si="2"/>
        <v>kvarh</v>
      </c>
    </row>
    <row r="50" spans="1:12" x14ac:dyDescent="0.25">
      <c r="A50" s="2">
        <v>46</v>
      </c>
      <c r="B50" s="3" t="s">
        <v>98</v>
      </c>
      <c r="C50" s="2" t="s">
        <v>99</v>
      </c>
      <c r="D50" s="2" t="s">
        <v>7</v>
      </c>
      <c r="E50" s="3" t="s">
        <v>1343</v>
      </c>
      <c r="G50" s="18"/>
      <c r="K50" s="7" t="str">
        <f t="shared" si="0"/>
        <v>Pump1</v>
      </c>
      <c r="L50" s="7" t="str">
        <f t="shared" si="2"/>
        <v>Ctrl_run_Pump</v>
      </c>
    </row>
    <row r="51" spans="1:12" x14ac:dyDescent="0.25">
      <c r="A51" s="2">
        <v>47</v>
      </c>
      <c r="B51" s="3" t="s">
        <v>100</v>
      </c>
      <c r="C51" s="2" t="s">
        <v>101</v>
      </c>
      <c r="D51" s="2" t="s">
        <v>7</v>
      </c>
      <c r="E51" s="3" t="s">
        <v>1354</v>
      </c>
      <c r="G51" s="18"/>
      <c r="H51" t="s">
        <v>1496</v>
      </c>
      <c r="K51" s="7" t="str">
        <f t="shared" si="0"/>
        <v>Pump1</v>
      </c>
      <c r="L51" s="7" t="str">
        <f t="shared" si="2"/>
        <v>FB_Fault</v>
      </c>
    </row>
    <row r="52" spans="1:12" x14ac:dyDescent="0.25">
      <c r="A52" s="2">
        <v>48</v>
      </c>
      <c r="B52" s="3" t="s">
        <v>102</v>
      </c>
      <c r="C52" s="2" t="s">
        <v>103</v>
      </c>
      <c r="D52" s="2" t="s">
        <v>7</v>
      </c>
      <c r="E52" s="3" t="s">
        <v>1344</v>
      </c>
      <c r="G52" s="18"/>
      <c r="K52" s="7" t="str">
        <f t="shared" si="0"/>
        <v>Pump1</v>
      </c>
      <c r="L52" s="7" t="str">
        <f t="shared" si="2"/>
        <v>Ctrl_PB_Run</v>
      </c>
    </row>
    <row r="53" spans="1:12" x14ac:dyDescent="0.25">
      <c r="A53" s="2">
        <v>49</v>
      </c>
      <c r="B53" s="3" t="s">
        <v>104</v>
      </c>
      <c r="C53" s="2" t="s">
        <v>105</v>
      </c>
      <c r="D53" s="2" t="s">
        <v>7</v>
      </c>
      <c r="E53" s="3" t="s">
        <v>1345</v>
      </c>
      <c r="G53" s="18"/>
      <c r="K53" s="7" t="str">
        <f t="shared" si="0"/>
        <v>Pump1</v>
      </c>
      <c r="L53" s="7" t="str">
        <f t="shared" si="2"/>
        <v>Ctrl_PB_Stop</v>
      </c>
    </row>
    <row r="54" spans="1:12" x14ac:dyDescent="0.25">
      <c r="A54" s="2">
        <v>50</v>
      </c>
      <c r="B54" s="3" t="s">
        <v>106</v>
      </c>
      <c r="C54" s="2" t="s">
        <v>107</v>
      </c>
      <c r="D54" s="2" t="s">
        <v>7</v>
      </c>
      <c r="E54" s="3" t="s">
        <v>1346</v>
      </c>
      <c r="G54" s="18"/>
      <c r="K54" s="7" t="str">
        <f t="shared" si="0"/>
        <v>Pump1</v>
      </c>
      <c r="L54" s="7" t="str">
        <f t="shared" si="2"/>
        <v>Ctrl_PB_RST</v>
      </c>
    </row>
    <row r="55" spans="1:12" x14ac:dyDescent="0.25">
      <c r="A55" s="2">
        <v>51</v>
      </c>
      <c r="B55" s="3" t="s">
        <v>108</v>
      </c>
      <c r="C55" s="2" t="s">
        <v>109</v>
      </c>
      <c r="D55" s="2" t="s">
        <v>24</v>
      </c>
      <c r="E55" s="3" t="s">
        <v>1347</v>
      </c>
      <c r="G55" s="18"/>
      <c r="K55" s="7" t="str">
        <f t="shared" si="0"/>
        <v>Pump1</v>
      </c>
      <c r="L55" s="7" t="str">
        <f t="shared" si="2"/>
        <v>Time_Run_M</v>
      </c>
    </row>
    <row r="56" spans="1:12" x14ac:dyDescent="0.25">
      <c r="A56" s="2">
        <v>52</v>
      </c>
      <c r="B56" s="3" t="s">
        <v>110</v>
      </c>
      <c r="C56" s="2" t="s">
        <v>111</v>
      </c>
      <c r="D56" s="2" t="s">
        <v>24</v>
      </c>
      <c r="E56" s="3" t="s">
        <v>1348</v>
      </c>
      <c r="G56" s="18"/>
      <c r="K56" s="7" t="str">
        <f t="shared" si="0"/>
        <v>Pump1</v>
      </c>
      <c r="L56" s="7" t="str">
        <f t="shared" si="2"/>
        <v>Time_Run_H</v>
      </c>
    </row>
    <row r="57" spans="1:12" x14ac:dyDescent="0.25">
      <c r="A57" s="2">
        <v>53</v>
      </c>
      <c r="B57" s="3" t="s">
        <v>112</v>
      </c>
      <c r="C57" s="2" t="s">
        <v>113</v>
      </c>
      <c r="D57" s="2" t="s">
        <v>24</v>
      </c>
      <c r="E57" s="3" t="s">
        <v>1349</v>
      </c>
      <c r="G57" s="18"/>
      <c r="K57" s="7" t="str">
        <f t="shared" si="0"/>
        <v>Pump1</v>
      </c>
      <c r="L57" s="7" t="str">
        <f t="shared" si="2"/>
        <v>Total_Time_Run_M</v>
      </c>
    </row>
    <row r="58" spans="1:12" x14ac:dyDescent="0.25">
      <c r="A58" s="2">
        <v>54</v>
      </c>
      <c r="B58" s="3" t="s">
        <v>114</v>
      </c>
      <c r="C58" s="2" t="s">
        <v>115</v>
      </c>
      <c r="D58" s="2" t="s">
        <v>24</v>
      </c>
      <c r="E58" s="3" t="s">
        <v>1350</v>
      </c>
      <c r="G58" s="18"/>
      <c r="H58" t="s">
        <v>1407</v>
      </c>
      <c r="K58" s="7" t="str">
        <f t="shared" si="0"/>
        <v>Pump1</v>
      </c>
      <c r="L58" s="7" t="str">
        <f t="shared" si="2"/>
        <v>Total_Time_Run_H</v>
      </c>
    </row>
    <row r="59" spans="1:12" x14ac:dyDescent="0.25">
      <c r="A59" s="2">
        <v>55</v>
      </c>
      <c r="B59" s="3" t="s">
        <v>116</v>
      </c>
      <c r="C59" s="2" t="s">
        <v>117</v>
      </c>
      <c r="D59" s="2" t="s">
        <v>24</v>
      </c>
      <c r="E59" s="3" t="s">
        <v>1351</v>
      </c>
      <c r="G59" s="18"/>
      <c r="K59" s="7" t="str">
        <f t="shared" si="0"/>
        <v>Pump1</v>
      </c>
      <c r="L59" s="7" t="str">
        <f t="shared" si="2"/>
        <v>NumberOfclose</v>
      </c>
    </row>
    <row r="60" spans="1:12" x14ac:dyDescent="0.25">
      <c r="A60" s="2">
        <v>56</v>
      </c>
      <c r="B60" s="3" t="s">
        <v>118</v>
      </c>
      <c r="C60" s="2" t="s">
        <v>119</v>
      </c>
      <c r="D60" s="2" t="s">
        <v>7</v>
      </c>
      <c r="E60" s="3" t="s">
        <v>1355</v>
      </c>
      <c r="G60" s="18" t="s">
        <v>1490</v>
      </c>
      <c r="K60" s="7" t="str">
        <f t="shared" si="0"/>
        <v>Pump2</v>
      </c>
      <c r="L60" s="7" t="str">
        <f t="shared" si="2"/>
        <v>FB_auto</v>
      </c>
    </row>
    <row r="61" spans="1:12" x14ac:dyDescent="0.25">
      <c r="A61" s="2">
        <v>57</v>
      </c>
      <c r="B61" s="3" t="s">
        <v>120</v>
      </c>
      <c r="C61" s="2" t="s">
        <v>121</v>
      </c>
      <c r="D61" s="2" t="s">
        <v>7</v>
      </c>
      <c r="E61" s="3" t="s">
        <v>1306</v>
      </c>
      <c r="G61" s="18"/>
      <c r="H61" t="s">
        <v>1497</v>
      </c>
      <c r="K61" s="7" t="str">
        <f t="shared" si="0"/>
        <v>Pump2</v>
      </c>
      <c r="L61" s="7" t="str">
        <f t="shared" si="2"/>
        <v>FB_Run</v>
      </c>
    </row>
    <row r="62" spans="1:12" x14ac:dyDescent="0.25">
      <c r="A62" s="2">
        <v>58</v>
      </c>
      <c r="B62" s="3" t="s">
        <v>122</v>
      </c>
      <c r="C62" s="2" t="s">
        <v>123</v>
      </c>
      <c r="D62" s="2" t="s">
        <v>7</v>
      </c>
      <c r="E62" s="3" t="s">
        <v>1307</v>
      </c>
      <c r="G62" s="18"/>
      <c r="K62" s="7" t="str">
        <f t="shared" si="0"/>
        <v>Pump2</v>
      </c>
      <c r="L62" s="7" t="str">
        <f t="shared" si="2"/>
        <v>FB_Fault_V</v>
      </c>
    </row>
    <row r="63" spans="1:12" x14ac:dyDescent="0.25">
      <c r="A63" s="2">
        <v>59</v>
      </c>
      <c r="B63" s="3" t="s">
        <v>124</v>
      </c>
      <c r="C63" s="2" t="s">
        <v>125</v>
      </c>
      <c r="D63" s="2" t="s">
        <v>7</v>
      </c>
      <c r="E63" s="3" t="s">
        <v>1307</v>
      </c>
      <c r="G63" s="18"/>
      <c r="H63" t="s">
        <v>1499</v>
      </c>
      <c r="K63" s="7" t="str">
        <f t="shared" si="0"/>
        <v>Pump2</v>
      </c>
      <c r="L63" s="7" t="str">
        <f t="shared" si="2"/>
        <v>FB_Fault_SS</v>
      </c>
    </row>
    <row r="64" spans="1:12" x14ac:dyDescent="0.25">
      <c r="A64" s="2">
        <v>60</v>
      </c>
      <c r="B64" s="3" t="s">
        <v>126</v>
      </c>
      <c r="C64" s="2" t="s">
        <v>127</v>
      </c>
      <c r="D64" s="2" t="s">
        <v>7</v>
      </c>
      <c r="E64" s="3" t="s">
        <v>1356</v>
      </c>
      <c r="G64" s="18"/>
      <c r="K64" s="7" t="str">
        <f t="shared" si="0"/>
        <v>Pump2</v>
      </c>
      <c r="L64" s="7" t="str">
        <f t="shared" si="2"/>
        <v>FB_Fault_Temp</v>
      </c>
    </row>
    <row r="65" spans="1:12" x14ac:dyDescent="0.25">
      <c r="A65" s="2">
        <v>61</v>
      </c>
      <c r="B65" s="3" t="s">
        <v>128</v>
      </c>
      <c r="C65" s="2" t="s">
        <v>129</v>
      </c>
      <c r="D65" s="2" t="s">
        <v>7</v>
      </c>
      <c r="E65" s="3" t="s">
        <v>1307</v>
      </c>
      <c r="G65" s="18"/>
      <c r="K65" s="7" t="str">
        <f t="shared" si="0"/>
        <v>Pump2</v>
      </c>
      <c r="L65" s="7" t="str">
        <f t="shared" si="2"/>
        <v>FB_Fault_Curent</v>
      </c>
    </row>
    <row r="66" spans="1:12" x14ac:dyDescent="0.25">
      <c r="A66" s="2">
        <v>62</v>
      </c>
      <c r="B66" s="3" t="s">
        <v>130</v>
      </c>
      <c r="C66" s="2" t="s">
        <v>131</v>
      </c>
      <c r="D66" s="2" t="s">
        <v>7</v>
      </c>
      <c r="E66" s="3" t="s">
        <v>1357</v>
      </c>
      <c r="G66" s="18"/>
      <c r="K66" s="7" t="str">
        <f t="shared" si="0"/>
        <v>Pump2</v>
      </c>
      <c r="L66" s="7" t="str">
        <f t="shared" si="2"/>
        <v>Clock_1m</v>
      </c>
    </row>
    <row r="67" spans="1:12" x14ac:dyDescent="0.25">
      <c r="A67" s="2">
        <v>63</v>
      </c>
      <c r="B67" s="3" t="s">
        <v>132</v>
      </c>
      <c r="C67" s="2" t="s">
        <v>133</v>
      </c>
      <c r="D67" s="2" t="s">
        <v>7</v>
      </c>
      <c r="E67" s="3" t="s">
        <v>1358</v>
      </c>
      <c r="G67" s="18"/>
      <c r="H67" t="s">
        <v>1498</v>
      </c>
      <c r="K67" s="7" t="str">
        <f t="shared" si="0"/>
        <v>Pump2</v>
      </c>
      <c r="L67" s="7" t="str">
        <f t="shared" si="2"/>
        <v>FB_stop</v>
      </c>
    </row>
    <row r="68" spans="1:12" x14ac:dyDescent="0.25">
      <c r="A68" s="2">
        <v>8</v>
      </c>
      <c r="B68" s="12" t="s">
        <v>1434</v>
      </c>
      <c r="C68" s="2" t="s">
        <v>21</v>
      </c>
      <c r="D68" s="2" t="s">
        <v>7</v>
      </c>
      <c r="E68" s="3" t="s">
        <v>1393</v>
      </c>
      <c r="G68" s="18"/>
      <c r="H68" t="s">
        <v>1494</v>
      </c>
      <c r="K68" s="7" t="str">
        <f t="shared" si="0"/>
        <v>Pump2</v>
      </c>
      <c r="L68" s="7" t="str">
        <f t="shared" si="2"/>
        <v>FB_maintenance</v>
      </c>
    </row>
    <row r="69" spans="1:12" x14ac:dyDescent="0.25">
      <c r="A69" s="2">
        <v>64</v>
      </c>
      <c r="B69" s="3" t="s">
        <v>134</v>
      </c>
      <c r="C69" s="2" t="s">
        <v>135</v>
      </c>
      <c r="D69" s="2" t="s">
        <v>24</v>
      </c>
      <c r="E69" s="3" t="s">
        <v>1352</v>
      </c>
      <c r="G69" s="18"/>
      <c r="K69" s="7" t="str">
        <f t="shared" si="0"/>
        <v>Pump2</v>
      </c>
      <c r="L69" s="7" t="str">
        <f t="shared" si="2"/>
        <v>FB_Temp_DEBearing</v>
      </c>
    </row>
    <row r="70" spans="1:12" x14ac:dyDescent="0.25">
      <c r="A70" s="2">
        <v>65</v>
      </c>
      <c r="B70" s="3" t="s">
        <v>136</v>
      </c>
      <c r="C70" s="2" t="s">
        <v>137</v>
      </c>
      <c r="D70" s="2" t="s">
        <v>24</v>
      </c>
      <c r="E70" s="3" t="s">
        <v>1353</v>
      </c>
      <c r="G70" s="18"/>
      <c r="K70" s="7" t="str">
        <f t="shared" si="0"/>
        <v>Pump2</v>
      </c>
      <c r="L70" s="7" t="str">
        <f t="shared" si="2"/>
        <v>FB_Temp_NDEBearing</v>
      </c>
    </row>
    <row r="71" spans="1:12" x14ac:dyDescent="0.25">
      <c r="A71" s="2">
        <v>66</v>
      </c>
      <c r="B71" s="3" t="s">
        <v>138</v>
      </c>
      <c r="C71" s="2" t="s">
        <v>139</v>
      </c>
      <c r="D71" s="2" t="s">
        <v>24</v>
      </c>
      <c r="E71" s="3" t="s">
        <v>1308</v>
      </c>
      <c r="G71" s="18"/>
      <c r="K71" s="7" t="str">
        <f t="shared" ref="K71:K135" si="3">LEFT(B71, SEARCH("_",B71 ) - 1)</f>
        <v>Pump2</v>
      </c>
      <c r="L71" s="7" t="str">
        <f t="shared" si="2"/>
        <v>FB_Temp_PhaseA</v>
      </c>
    </row>
    <row r="72" spans="1:12" x14ac:dyDescent="0.25">
      <c r="A72" s="2">
        <v>67</v>
      </c>
      <c r="B72" s="3" t="s">
        <v>140</v>
      </c>
      <c r="C72" s="2" t="s">
        <v>141</v>
      </c>
      <c r="D72" s="2" t="s">
        <v>24</v>
      </c>
      <c r="E72" s="3" t="s">
        <v>1309</v>
      </c>
      <c r="G72" s="18"/>
      <c r="K72" s="7" t="str">
        <f t="shared" si="3"/>
        <v>Pump2</v>
      </c>
      <c r="L72" s="7" t="str">
        <f t="shared" si="2"/>
        <v>FB_Temp_PhaseB</v>
      </c>
    </row>
    <row r="73" spans="1:12" x14ac:dyDescent="0.25">
      <c r="A73" s="2">
        <v>68</v>
      </c>
      <c r="B73" s="3" t="s">
        <v>142</v>
      </c>
      <c r="C73" s="2" t="s">
        <v>143</v>
      </c>
      <c r="D73" s="2" t="s">
        <v>24</v>
      </c>
      <c r="E73" s="3" t="s">
        <v>1310</v>
      </c>
      <c r="G73" s="18"/>
      <c r="K73" s="7" t="str">
        <f t="shared" si="3"/>
        <v>Pump2</v>
      </c>
      <c r="L73" s="7" t="str">
        <f t="shared" si="2"/>
        <v>FB_Temp_PhaseC</v>
      </c>
    </row>
    <row r="74" spans="1:12" x14ac:dyDescent="0.25">
      <c r="A74" s="2">
        <v>69</v>
      </c>
      <c r="B74" s="3" t="s">
        <v>144</v>
      </c>
      <c r="C74" s="2" t="s">
        <v>145</v>
      </c>
      <c r="D74" s="2" t="s">
        <v>35</v>
      </c>
      <c r="E74" s="3" t="s">
        <v>1315</v>
      </c>
      <c r="G74" s="18"/>
      <c r="K74" s="7" t="str">
        <f t="shared" si="3"/>
        <v>Meter2</v>
      </c>
      <c r="L74" s="7" t="str">
        <f t="shared" si="2"/>
        <v>U1</v>
      </c>
    </row>
    <row r="75" spans="1:12" x14ac:dyDescent="0.25">
      <c r="A75" s="2">
        <v>70</v>
      </c>
      <c r="B75" s="3" t="s">
        <v>146</v>
      </c>
      <c r="C75" s="2" t="s">
        <v>147</v>
      </c>
      <c r="D75" s="2" t="s">
        <v>35</v>
      </c>
      <c r="E75" s="3" t="s">
        <v>1316</v>
      </c>
      <c r="G75" s="18"/>
      <c r="K75" s="7" t="str">
        <f t="shared" si="3"/>
        <v>Meter2</v>
      </c>
      <c r="L75" s="7" t="str">
        <f t="shared" si="2"/>
        <v>U2</v>
      </c>
    </row>
    <row r="76" spans="1:12" x14ac:dyDescent="0.25">
      <c r="A76" s="2">
        <v>71</v>
      </c>
      <c r="B76" s="3" t="s">
        <v>148</v>
      </c>
      <c r="C76" s="2" t="s">
        <v>149</v>
      </c>
      <c r="D76" s="2" t="s">
        <v>35</v>
      </c>
      <c r="E76" s="3" t="s">
        <v>1317</v>
      </c>
      <c r="G76" s="18"/>
      <c r="K76" s="7" t="str">
        <f t="shared" si="3"/>
        <v>Meter2</v>
      </c>
      <c r="L76" s="7" t="str">
        <f t="shared" ref="L76:L140" si="4">RIGHT(B76, LEN(B76)-SEARCH("_",B76 ))</f>
        <v>U3</v>
      </c>
    </row>
    <row r="77" spans="1:12" x14ac:dyDescent="0.25">
      <c r="A77" s="2">
        <v>72</v>
      </c>
      <c r="B77" s="3" t="s">
        <v>150</v>
      </c>
      <c r="C77" s="2" t="s">
        <v>151</v>
      </c>
      <c r="D77" s="2" t="s">
        <v>35</v>
      </c>
      <c r="E77" s="3" t="s">
        <v>1318</v>
      </c>
      <c r="G77" s="18"/>
      <c r="K77" s="7" t="str">
        <f t="shared" si="3"/>
        <v>Meter2</v>
      </c>
      <c r="L77" s="7" t="str">
        <f t="shared" si="4"/>
        <v>U_Ph</v>
      </c>
    </row>
    <row r="78" spans="1:12" x14ac:dyDescent="0.25">
      <c r="A78" s="2">
        <v>73</v>
      </c>
      <c r="B78" s="3" t="s">
        <v>152</v>
      </c>
      <c r="C78" s="2" t="s">
        <v>153</v>
      </c>
      <c r="D78" s="2" t="s">
        <v>35</v>
      </c>
      <c r="E78" s="3" t="s">
        <v>1319</v>
      </c>
      <c r="G78" s="18"/>
      <c r="H78" t="s">
        <v>1486</v>
      </c>
      <c r="K78" s="7" t="str">
        <f t="shared" si="3"/>
        <v>Meter2</v>
      </c>
      <c r="L78" s="7" t="str">
        <f t="shared" si="4"/>
        <v>U12</v>
      </c>
    </row>
    <row r="79" spans="1:12" x14ac:dyDescent="0.25">
      <c r="A79" s="2">
        <v>74</v>
      </c>
      <c r="B79" s="3" t="s">
        <v>154</v>
      </c>
      <c r="C79" s="2" t="s">
        <v>155</v>
      </c>
      <c r="D79" s="2" t="s">
        <v>35</v>
      </c>
      <c r="E79" s="3" t="s">
        <v>1320</v>
      </c>
      <c r="G79" s="18"/>
      <c r="H79" t="s">
        <v>1487</v>
      </c>
      <c r="K79" s="7" t="str">
        <f t="shared" si="3"/>
        <v>Meter2</v>
      </c>
      <c r="L79" s="7" t="str">
        <f t="shared" si="4"/>
        <v>U23</v>
      </c>
    </row>
    <row r="80" spans="1:12" x14ac:dyDescent="0.25">
      <c r="A80" s="2">
        <v>75</v>
      </c>
      <c r="B80" s="3" t="s">
        <v>156</v>
      </c>
      <c r="C80" s="2" t="s">
        <v>157</v>
      </c>
      <c r="D80" s="2" t="s">
        <v>35</v>
      </c>
      <c r="E80" s="3" t="s">
        <v>1321</v>
      </c>
      <c r="G80" s="18"/>
      <c r="H80" t="s">
        <v>1488</v>
      </c>
      <c r="K80" s="7" t="str">
        <f t="shared" si="3"/>
        <v>Meter2</v>
      </c>
      <c r="L80" s="7" t="str">
        <f t="shared" si="4"/>
        <v>U31</v>
      </c>
    </row>
    <row r="81" spans="1:12" x14ac:dyDescent="0.25">
      <c r="A81" s="2">
        <v>76</v>
      </c>
      <c r="B81" s="3" t="s">
        <v>158</v>
      </c>
      <c r="C81" s="2" t="s">
        <v>159</v>
      </c>
      <c r="D81" s="2" t="s">
        <v>35</v>
      </c>
      <c r="E81" s="3" t="s">
        <v>1322</v>
      </c>
      <c r="G81" s="18"/>
      <c r="K81" s="7" t="str">
        <f t="shared" si="3"/>
        <v>Meter2</v>
      </c>
      <c r="L81" s="7" t="str">
        <f t="shared" si="4"/>
        <v>Uline</v>
      </c>
    </row>
    <row r="82" spans="1:12" x14ac:dyDescent="0.25">
      <c r="A82" s="2">
        <v>77</v>
      </c>
      <c r="B82" s="3" t="s">
        <v>160</v>
      </c>
      <c r="C82" s="2" t="s">
        <v>161</v>
      </c>
      <c r="D82" s="2" t="s">
        <v>35</v>
      </c>
      <c r="E82" s="3" t="s">
        <v>1312</v>
      </c>
      <c r="G82" s="18"/>
      <c r="H82" s="7" t="s">
        <v>1483</v>
      </c>
      <c r="K82" s="7" t="str">
        <f t="shared" si="3"/>
        <v>Meter2</v>
      </c>
      <c r="L82" s="7" t="str">
        <f t="shared" si="4"/>
        <v>I1</v>
      </c>
    </row>
    <row r="83" spans="1:12" x14ac:dyDescent="0.25">
      <c r="A83" s="2">
        <v>78</v>
      </c>
      <c r="B83" s="3" t="s">
        <v>162</v>
      </c>
      <c r="C83" s="2" t="s">
        <v>163</v>
      </c>
      <c r="D83" s="2" t="s">
        <v>35</v>
      </c>
      <c r="E83" s="3" t="s">
        <v>1313</v>
      </c>
      <c r="G83" s="18"/>
      <c r="H83" s="7" t="s">
        <v>1484</v>
      </c>
      <c r="K83" s="7" t="str">
        <f t="shared" si="3"/>
        <v>Meter2</v>
      </c>
      <c r="L83" s="7" t="str">
        <f t="shared" si="4"/>
        <v>I2</v>
      </c>
    </row>
    <row r="84" spans="1:12" x14ac:dyDescent="0.25">
      <c r="A84" s="2">
        <v>79</v>
      </c>
      <c r="B84" s="3" t="s">
        <v>164</v>
      </c>
      <c r="C84" s="2" t="s">
        <v>165</v>
      </c>
      <c r="D84" s="2" t="s">
        <v>35</v>
      </c>
      <c r="E84" s="3" t="s">
        <v>1314</v>
      </c>
      <c r="G84" s="18"/>
      <c r="H84" s="7" t="s">
        <v>1485</v>
      </c>
      <c r="K84" s="7" t="str">
        <f t="shared" si="3"/>
        <v>Meter2</v>
      </c>
      <c r="L84" s="7" t="str">
        <f t="shared" si="4"/>
        <v>I3</v>
      </c>
    </row>
    <row r="85" spans="1:12" x14ac:dyDescent="0.25">
      <c r="A85" s="2">
        <v>80</v>
      </c>
      <c r="B85" s="3" t="s">
        <v>166</v>
      </c>
      <c r="C85" s="2" t="s">
        <v>167</v>
      </c>
      <c r="D85" s="2" t="s">
        <v>35</v>
      </c>
      <c r="E85" s="3" t="s">
        <v>1311</v>
      </c>
      <c r="G85" s="18"/>
      <c r="H85" s="3" t="s">
        <v>1311</v>
      </c>
      <c r="K85" s="7" t="str">
        <f t="shared" si="3"/>
        <v>Meter2</v>
      </c>
      <c r="L85" s="7" t="str">
        <f t="shared" si="4"/>
        <v>I_ph</v>
      </c>
    </row>
    <row r="86" spans="1:12" x14ac:dyDescent="0.25">
      <c r="A86" s="2">
        <v>81</v>
      </c>
      <c r="B86" s="3" t="s">
        <v>168</v>
      </c>
      <c r="C86" s="2" t="s">
        <v>169</v>
      </c>
      <c r="D86" s="2" t="s">
        <v>35</v>
      </c>
      <c r="E86" s="3" t="s">
        <v>1323</v>
      </c>
      <c r="G86" s="18"/>
      <c r="K86" s="7" t="str">
        <f t="shared" si="3"/>
        <v>Meter2</v>
      </c>
      <c r="L86" s="7" t="str">
        <f t="shared" si="4"/>
        <v>kw1</v>
      </c>
    </row>
    <row r="87" spans="1:12" x14ac:dyDescent="0.25">
      <c r="A87" s="2">
        <v>82</v>
      </c>
      <c r="B87" s="3" t="s">
        <v>170</v>
      </c>
      <c r="C87" s="2" t="s">
        <v>171</v>
      </c>
      <c r="D87" s="2" t="s">
        <v>35</v>
      </c>
      <c r="E87" s="3" t="s">
        <v>1324</v>
      </c>
      <c r="G87" s="18"/>
      <c r="K87" s="7" t="str">
        <f t="shared" si="3"/>
        <v>Meter2</v>
      </c>
      <c r="L87" s="7" t="str">
        <f t="shared" si="4"/>
        <v>kw2</v>
      </c>
    </row>
    <row r="88" spans="1:12" x14ac:dyDescent="0.25">
      <c r="A88" s="2">
        <v>83</v>
      </c>
      <c r="B88" s="3" t="s">
        <v>172</v>
      </c>
      <c r="C88" s="2" t="s">
        <v>173</v>
      </c>
      <c r="D88" s="2" t="s">
        <v>35</v>
      </c>
      <c r="E88" s="3" t="s">
        <v>1325</v>
      </c>
      <c r="G88" s="18"/>
      <c r="K88" s="7" t="str">
        <f t="shared" si="3"/>
        <v>Meter2</v>
      </c>
      <c r="L88" s="7" t="str">
        <f t="shared" si="4"/>
        <v>kw3</v>
      </c>
    </row>
    <row r="89" spans="1:12" x14ac:dyDescent="0.25">
      <c r="A89" s="2">
        <v>84</v>
      </c>
      <c r="B89" s="3" t="s">
        <v>174</v>
      </c>
      <c r="C89" s="2" t="s">
        <v>175</v>
      </c>
      <c r="D89" s="2" t="s">
        <v>35</v>
      </c>
      <c r="E89" s="3" t="s">
        <v>1326</v>
      </c>
      <c r="G89" s="18"/>
      <c r="K89" s="7" t="str">
        <f t="shared" si="3"/>
        <v>Meter2</v>
      </c>
      <c r="L89" s="7" t="str">
        <f t="shared" si="4"/>
        <v>kva1</v>
      </c>
    </row>
    <row r="90" spans="1:12" x14ac:dyDescent="0.25">
      <c r="A90" s="2">
        <v>85</v>
      </c>
      <c r="B90" s="3" t="s">
        <v>176</v>
      </c>
      <c r="C90" s="2" t="s">
        <v>177</v>
      </c>
      <c r="D90" s="2" t="s">
        <v>35</v>
      </c>
      <c r="E90" s="3" t="s">
        <v>1327</v>
      </c>
      <c r="G90" s="18"/>
      <c r="K90" s="7" t="str">
        <f t="shared" si="3"/>
        <v>Meter2</v>
      </c>
      <c r="L90" s="7" t="str">
        <f t="shared" si="4"/>
        <v>kva2</v>
      </c>
    </row>
    <row r="91" spans="1:12" x14ac:dyDescent="0.25">
      <c r="A91" s="2">
        <v>86</v>
      </c>
      <c r="B91" s="3" t="s">
        <v>178</v>
      </c>
      <c r="C91" s="2" t="s">
        <v>179</v>
      </c>
      <c r="D91" s="2" t="s">
        <v>35</v>
      </c>
      <c r="E91" s="3" t="s">
        <v>1328</v>
      </c>
      <c r="G91" s="18"/>
      <c r="K91" s="7" t="str">
        <f t="shared" si="3"/>
        <v>Meter2</v>
      </c>
      <c r="L91" s="7" t="str">
        <f t="shared" si="4"/>
        <v>kva3</v>
      </c>
    </row>
    <row r="92" spans="1:12" x14ac:dyDescent="0.25">
      <c r="A92" s="2">
        <v>87</v>
      </c>
      <c r="B92" s="3" t="s">
        <v>180</v>
      </c>
      <c r="C92" s="2" t="s">
        <v>181</v>
      </c>
      <c r="D92" s="2" t="s">
        <v>35</v>
      </c>
      <c r="E92" s="3" t="s">
        <v>1329</v>
      </c>
      <c r="G92" s="18"/>
      <c r="K92" s="7" t="str">
        <f t="shared" si="3"/>
        <v>Meter2</v>
      </c>
      <c r="L92" s="7" t="str">
        <f t="shared" si="4"/>
        <v>kvar1</v>
      </c>
    </row>
    <row r="93" spans="1:12" x14ac:dyDescent="0.25">
      <c r="A93" s="2">
        <v>88</v>
      </c>
      <c r="B93" s="3" t="s">
        <v>182</v>
      </c>
      <c r="C93" s="2" t="s">
        <v>183</v>
      </c>
      <c r="D93" s="2" t="s">
        <v>35</v>
      </c>
      <c r="E93" s="3" t="s">
        <v>1330</v>
      </c>
      <c r="G93" s="18"/>
      <c r="K93" s="7" t="str">
        <f t="shared" si="3"/>
        <v>Meter2</v>
      </c>
      <c r="L93" s="7" t="str">
        <f t="shared" si="4"/>
        <v>kvar2</v>
      </c>
    </row>
    <row r="94" spans="1:12" x14ac:dyDescent="0.25">
      <c r="A94" s="2">
        <v>89</v>
      </c>
      <c r="B94" s="3" t="s">
        <v>184</v>
      </c>
      <c r="C94" s="2" t="s">
        <v>185</v>
      </c>
      <c r="D94" s="2" t="s">
        <v>35</v>
      </c>
      <c r="E94" s="3" t="s">
        <v>1331</v>
      </c>
      <c r="G94" s="18"/>
      <c r="K94" s="7" t="str">
        <f t="shared" si="3"/>
        <v>Meter2</v>
      </c>
      <c r="L94" s="7" t="str">
        <f t="shared" si="4"/>
        <v>kvar3</v>
      </c>
    </row>
    <row r="95" spans="1:12" x14ac:dyDescent="0.25">
      <c r="A95" s="2">
        <v>90</v>
      </c>
      <c r="B95" s="3" t="s">
        <v>186</v>
      </c>
      <c r="C95" s="2" t="s">
        <v>187</v>
      </c>
      <c r="D95" s="2" t="s">
        <v>35</v>
      </c>
      <c r="E95" s="3" t="s">
        <v>1332</v>
      </c>
      <c r="G95" s="18"/>
      <c r="K95" s="7" t="str">
        <f t="shared" si="3"/>
        <v>Meter2</v>
      </c>
      <c r="L95" s="7" t="str">
        <f t="shared" si="4"/>
        <v>total_kw</v>
      </c>
    </row>
    <row r="96" spans="1:12" x14ac:dyDescent="0.25">
      <c r="A96" s="2">
        <v>91</v>
      </c>
      <c r="B96" s="3" t="s">
        <v>188</v>
      </c>
      <c r="C96" s="2" t="s">
        <v>189</v>
      </c>
      <c r="D96" s="2" t="s">
        <v>35</v>
      </c>
      <c r="E96" s="3" t="s">
        <v>1333</v>
      </c>
      <c r="G96" s="18"/>
      <c r="K96" s="7" t="str">
        <f t="shared" si="3"/>
        <v>Meter2</v>
      </c>
      <c r="L96" s="7" t="str">
        <f t="shared" si="4"/>
        <v>total_kva</v>
      </c>
    </row>
    <row r="97" spans="1:12" x14ac:dyDescent="0.25">
      <c r="A97" s="2">
        <v>92</v>
      </c>
      <c r="B97" s="3" t="s">
        <v>190</v>
      </c>
      <c r="C97" s="2" t="s">
        <v>191</v>
      </c>
      <c r="D97" s="2" t="s">
        <v>35</v>
      </c>
      <c r="E97" s="3" t="s">
        <v>1334</v>
      </c>
      <c r="G97" s="18"/>
      <c r="K97" s="7" t="str">
        <f t="shared" si="3"/>
        <v>Meter2</v>
      </c>
      <c r="L97" s="7" t="str">
        <f t="shared" si="4"/>
        <v>total_kvar</v>
      </c>
    </row>
    <row r="98" spans="1:12" x14ac:dyDescent="0.25">
      <c r="A98" s="2">
        <v>93</v>
      </c>
      <c r="B98" s="3" t="s">
        <v>192</v>
      </c>
      <c r="C98" s="2" t="s">
        <v>193</v>
      </c>
      <c r="D98" s="2" t="s">
        <v>35</v>
      </c>
      <c r="E98" s="3" t="s">
        <v>1335</v>
      </c>
      <c r="G98" s="18"/>
      <c r="K98" s="7" t="str">
        <f t="shared" si="3"/>
        <v>Meter2</v>
      </c>
      <c r="L98" s="7" t="str">
        <f t="shared" si="4"/>
        <v>PF1</v>
      </c>
    </row>
    <row r="99" spans="1:12" x14ac:dyDescent="0.25">
      <c r="A99" s="2">
        <v>94</v>
      </c>
      <c r="B99" s="3" t="s">
        <v>194</v>
      </c>
      <c r="C99" s="2" t="s">
        <v>195</v>
      </c>
      <c r="D99" s="2" t="s">
        <v>35</v>
      </c>
      <c r="E99" s="3" t="s">
        <v>1336</v>
      </c>
      <c r="G99" s="18"/>
      <c r="K99" s="7" t="str">
        <f t="shared" si="3"/>
        <v>Meter2</v>
      </c>
      <c r="L99" s="7" t="str">
        <f t="shared" si="4"/>
        <v>PF2</v>
      </c>
    </row>
    <row r="100" spans="1:12" x14ac:dyDescent="0.25">
      <c r="A100" s="2">
        <v>95</v>
      </c>
      <c r="B100" s="3" t="s">
        <v>196</v>
      </c>
      <c r="C100" s="2" t="s">
        <v>197</v>
      </c>
      <c r="D100" s="2" t="s">
        <v>35</v>
      </c>
      <c r="E100" s="3" t="s">
        <v>1337</v>
      </c>
      <c r="G100" s="18"/>
      <c r="K100" s="7" t="str">
        <f t="shared" si="3"/>
        <v>Meter2</v>
      </c>
      <c r="L100" s="7" t="str">
        <f t="shared" si="4"/>
        <v>PF3</v>
      </c>
    </row>
    <row r="101" spans="1:12" x14ac:dyDescent="0.25">
      <c r="A101" s="2">
        <v>96</v>
      </c>
      <c r="B101" s="3" t="s">
        <v>198</v>
      </c>
      <c r="C101" s="2" t="s">
        <v>199</v>
      </c>
      <c r="D101" s="2" t="s">
        <v>35</v>
      </c>
      <c r="E101" s="3" t="s">
        <v>1338</v>
      </c>
      <c r="G101" s="18"/>
      <c r="K101" s="7" t="str">
        <f t="shared" si="3"/>
        <v>Meter2</v>
      </c>
      <c r="L101" s="7" t="str">
        <f t="shared" si="4"/>
        <v>PF</v>
      </c>
    </row>
    <row r="102" spans="1:12" x14ac:dyDescent="0.25">
      <c r="A102" s="2">
        <v>97</v>
      </c>
      <c r="B102" s="3" t="s">
        <v>200</v>
      </c>
      <c r="C102" s="2" t="s">
        <v>201</v>
      </c>
      <c r="D102" s="2" t="s">
        <v>35</v>
      </c>
      <c r="E102" s="3" t="s">
        <v>1339</v>
      </c>
      <c r="G102" s="18"/>
      <c r="K102" s="7" t="str">
        <f t="shared" si="3"/>
        <v>Meter2</v>
      </c>
      <c r="L102" s="7" t="str">
        <f t="shared" si="4"/>
        <v>freq</v>
      </c>
    </row>
    <row r="103" spans="1:12" x14ac:dyDescent="0.25">
      <c r="A103" s="2">
        <v>98</v>
      </c>
      <c r="B103" s="3" t="s">
        <v>202</v>
      </c>
      <c r="C103" s="2" t="s">
        <v>203</v>
      </c>
      <c r="D103" s="2" t="s">
        <v>35</v>
      </c>
      <c r="E103" s="3" t="s">
        <v>1340</v>
      </c>
      <c r="G103" s="18"/>
      <c r="K103" s="7" t="str">
        <f t="shared" si="3"/>
        <v>Meter2</v>
      </c>
      <c r="L103" s="7" t="str">
        <f t="shared" si="4"/>
        <v>kwh</v>
      </c>
    </row>
    <row r="104" spans="1:12" x14ac:dyDescent="0.25">
      <c r="A104" s="2">
        <v>99</v>
      </c>
      <c r="B104" s="3" t="s">
        <v>204</v>
      </c>
      <c r="C104" s="2" t="s">
        <v>205</v>
      </c>
      <c r="D104" s="2" t="s">
        <v>35</v>
      </c>
      <c r="E104" s="3" t="s">
        <v>1341</v>
      </c>
      <c r="G104" s="18"/>
      <c r="K104" s="7" t="str">
        <f t="shared" si="3"/>
        <v>Meter2</v>
      </c>
      <c r="L104" s="7" t="str">
        <f t="shared" si="4"/>
        <v>kvah</v>
      </c>
    </row>
    <row r="105" spans="1:12" x14ac:dyDescent="0.25">
      <c r="A105" s="2">
        <v>100</v>
      </c>
      <c r="B105" s="3" t="s">
        <v>206</v>
      </c>
      <c r="C105" s="2" t="s">
        <v>207</v>
      </c>
      <c r="D105" s="2" t="s">
        <v>35</v>
      </c>
      <c r="E105" s="3" t="s">
        <v>1342</v>
      </c>
      <c r="G105" s="18"/>
      <c r="K105" s="7" t="str">
        <f t="shared" si="3"/>
        <v>Meter2</v>
      </c>
      <c r="L105" s="7" t="str">
        <f t="shared" si="4"/>
        <v>kvarh</v>
      </c>
    </row>
    <row r="106" spans="1:12" x14ac:dyDescent="0.25">
      <c r="A106" s="2">
        <v>101</v>
      </c>
      <c r="B106" s="3" t="s">
        <v>208</v>
      </c>
      <c r="C106" s="2" t="s">
        <v>209</v>
      </c>
      <c r="D106" s="2" t="s">
        <v>7</v>
      </c>
      <c r="E106" s="3" t="s">
        <v>1343</v>
      </c>
      <c r="G106" s="18"/>
      <c r="K106" s="7" t="str">
        <f t="shared" si="3"/>
        <v>Pump2</v>
      </c>
      <c r="L106" s="7" t="str">
        <f t="shared" si="4"/>
        <v>Ctrl_run_Pump</v>
      </c>
    </row>
    <row r="107" spans="1:12" x14ac:dyDescent="0.25">
      <c r="A107" s="2">
        <v>102</v>
      </c>
      <c r="B107" s="3" t="s">
        <v>210</v>
      </c>
      <c r="C107" s="2" t="s">
        <v>211</v>
      </c>
      <c r="D107" s="2" t="s">
        <v>7</v>
      </c>
      <c r="E107" s="3" t="s">
        <v>1354</v>
      </c>
      <c r="G107" s="18"/>
      <c r="H107" t="s">
        <v>1496</v>
      </c>
      <c r="K107" s="7" t="str">
        <f t="shared" si="3"/>
        <v>Pump2</v>
      </c>
      <c r="L107" s="7" t="str">
        <f t="shared" si="4"/>
        <v>FB_Fault</v>
      </c>
    </row>
    <row r="108" spans="1:12" x14ac:dyDescent="0.25">
      <c r="A108" s="2">
        <v>103</v>
      </c>
      <c r="B108" s="3" t="s">
        <v>212</v>
      </c>
      <c r="C108" s="2" t="s">
        <v>213</v>
      </c>
      <c r="D108" s="2" t="s">
        <v>7</v>
      </c>
      <c r="E108" s="3" t="s">
        <v>1344</v>
      </c>
      <c r="G108" s="18"/>
      <c r="K108" s="7" t="str">
        <f t="shared" si="3"/>
        <v>Pump2</v>
      </c>
      <c r="L108" s="7" t="str">
        <f t="shared" si="4"/>
        <v>Ctrl_PB_Run</v>
      </c>
    </row>
    <row r="109" spans="1:12" x14ac:dyDescent="0.25">
      <c r="A109" s="2">
        <v>104</v>
      </c>
      <c r="B109" s="3" t="s">
        <v>214</v>
      </c>
      <c r="C109" s="2" t="s">
        <v>215</v>
      </c>
      <c r="D109" s="2" t="s">
        <v>7</v>
      </c>
      <c r="E109" s="3" t="s">
        <v>1345</v>
      </c>
      <c r="G109" s="18"/>
      <c r="K109" s="7" t="str">
        <f t="shared" si="3"/>
        <v>Pump2</v>
      </c>
      <c r="L109" s="7" t="str">
        <f t="shared" si="4"/>
        <v>Ctrl_PB_Stop</v>
      </c>
    </row>
    <row r="110" spans="1:12" x14ac:dyDescent="0.25">
      <c r="A110" s="2">
        <v>105</v>
      </c>
      <c r="B110" s="3" t="s">
        <v>216</v>
      </c>
      <c r="C110" s="2" t="s">
        <v>217</v>
      </c>
      <c r="D110" s="2" t="s">
        <v>7</v>
      </c>
      <c r="E110" s="3" t="s">
        <v>1346</v>
      </c>
      <c r="G110" s="18"/>
      <c r="K110" s="7" t="str">
        <f t="shared" si="3"/>
        <v>Pump2</v>
      </c>
      <c r="L110" s="7" t="str">
        <f t="shared" si="4"/>
        <v>Ctrl_PB_RST</v>
      </c>
    </row>
    <row r="111" spans="1:12" x14ac:dyDescent="0.25">
      <c r="A111" s="2">
        <v>106</v>
      </c>
      <c r="B111" s="3" t="s">
        <v>218</v>
      </c>
      <c r="C111" s="2" t="s">
        <v>219</v>
      </c>
      <c r="D111" s="2" t="s">
        <v>24</v>
      </c>
      <c r="E111" s="3" t="s">
        <v>1347</v>
      </c>
      <c r="G111" s="18"/>
      <c r="K111" s="7" t="str">
        <f t="shared" si="3"/>
        <v>Pump2</v>
      </c>
      <c r="L111" s="7" t="str">
        <f t="shared" si="4"/>
        <v>Time_Run_M</v>
      </c>
    </row>
    <row r="112" spans="1:12" x14ac:dyDescent="0.25">
      <c r="A112" s="2">
        <v>107</v>
      </c>
      <c r="B112" s="3" t="s">
        <v>220</v>
      </c>
      <c r="C112" s="2" t="s">
        <v>221</v>
      </c>
      <c r="D112" s="2" t="s">
        <v>24</v>
      </c>
      <c r="E112" s="3" t="s">
        <v>1348</v>
      </c>
      <c r="G112" s="18"/>
      <c r="K112" s="7" t="str">
        <f t="shared" si="3"/>
        <v>Pump2</v>
      </c>
      <c r="L112" s="7" t="str">
        <f t="shared" si="4"/>
        <v>Time_Run_H</v>
      </c>
    </row>
    <row r="113" spans="1:12" x14ac:dyDescent="0.25">
      <c r="A113" s="2">
        <v>108</v>
      </c>
      <c r="B113" s="3" t="s">
        <v>222</v>
      </c>
      <c r="C113" s="2" t="s">
        <v>223</v>
      </c>
      <c r="D113" s="2" t="s">
        <v>24</v>
      </c>
      <c r="E113" s="3" t="s">
        <v>1349</v>
      </c>
      <c r="G113" s="18"/>
      <c r="K113" s="7" t="str">
        <f t="shared" si="3"/>
        <v>Pump2</v>
      </c>
      <c r="L113" s="7" t="str">
        <f t="shared" si="4"/>
        <v>Total_Time_Run_M</v>
      </c>
    </row>
    <row r="114" spans="1:12" x14ac:dyDescent="0.25">
      <c r="A114" s="2">
        <v>109</v>
      </c>
      <c r="B114" s="3" t="s">
        <v>224</v>
      </c>
      <c r="C114" s="2" t="s">
        <v>225</v>
      </c>
      <c r="D114" s="2" t="s">
        <v>24</v>
      </c>
      <c r="E114" s="3" t="s">
        <v>1350</v>
      </c>
      <c r="G114" s="18"/>
      <c r="H114" t="s">
        <v>1407</v>
      </c>
      <c r="K114" s="7" t="str">
        <f t="shared" si="3"/>
        <v>Pump2</v>
      </c>
      <c r="L114" s="7" t="str">
        <f t="shared" si="4"/>
        <v>Total_Time_Run_H</v>
      </c>
    </row>
    <row r="115" spans="1:12" x14ac:dyDescent="0.25">
      <c r="A115" s="2">
        <v>110</v>
      </c>
      <c r="B115" s="3" t="s">
        <v>226</v>
      </c>
      <c r="C115" s="2" t="s">
        <v>227</v>
      </c>
      <c r="D115" s="2" t="s">
        <v>24</v>
      </c>
      <c r="E115" s="3" t="s">
        <v>1351</v>
      </c>
      <c r="G115" s="18"/>
      <c r="K115" s="7" t="str">
        <f t="shared" si="3"/>
        <v>Pump2</v>
      </c>
      <c r="L115" s="7" t="str">
        <f t="shared" si="4"/>
        <v>NumberOfclose</v>
      </c>
    </row>
    <row r="116" spans="1:12" x14ac:dyDescent="0.25">
      <c r="A116" s="2">
        <v>111</v>
      </c>
      <c r="B116" s="3" t="s">
        <v>228</v>
      </c>
      <c r="C116" s="2" t="s">
        <v>229</v>
      </c>
      <c r="D116" s="2" t="s">
        <v>7</v>
      </c>
      <c r="E116" s="3" t="s">
        <v>1355</v>
      </c>
      <c r="G116" s="18" t="s">
        <v>1491</v>
      </c>
      <c r="K116" s="7" t="str">
        <f t="shared" si="3"/>
        <v>Pump3</v>
      </c>
      <c r="L116" s="7" t="str">
        <f t="shared" si="4"/>
        <v>FB_auto</v>
      </c>
    </row>
    <row r="117" spans="1:12" x14ac:dyDescent="0.25">
      <c r="A117" s="2">
        <v>112</v>
      </c>
      <c r="B117" s="3" t="s">
        <v>230</v>
      </c>
      <c r="C117" s="2" t="s">
        <v>231</v>
      </c>
      <c r="D117" s="2" t="s">
        <v>7</v>
      </c>
      <c r="E117" s="3" t="s">
        <v>1306</v>
      </c>
      <c r="G117" s="18"/>
      <c r="H117" t="s">
        <v>1497</v>
      </c>
      <c r="K117" s="7" t="str">
        <f t="shared" si="3"/>
        <v>Pump3</v>
      </c>
      <c r="L117" s="7" t="str">
        <f t="shared" si="4"/>
        <v>FB_Run</v>
      </c>
    </row>
    <row r="118" spans="1:12" x14ac:dyDescent="0.25">
      <c r="A118" s="2">
        <v>113</v>
      </c>
      <c r="B118" s="3" t="s">
        <v>232</v>
      </c>
      <c r="C118" s="2" t="s">
        <v>233</v>
      </c>
      <c r="D118" s="2" t="s">
        <v>7</v>
      </c>
      <c r="E118" s="3" t="s">
        <v>1307</v>
      </c>
      <c r="G118" s="18"/>
      <c r="K118" s="7" t="str">
        <f t="shared" si="3"/>
        <v>Pump3</v>
      </c>
      <c r="L118" s="7" t="str">
        <f t="shared" si="4"/>
        <v>FB_Fault_V</v>
      </c>
    </row>
    <row r="119" spans="1:12" x14ac:dyDescent="0.25">
      <c r="A119" s="2">
        <v>114</v>
      </c>
      <c r="B119" s="3" t="s">
        <v>234</v>
      </c>
      <c r="C119" s="2" t="s">
        <v>235</v>
      </c>
      <c r="D119" s="2" t="s">
        <v>7</v>
      </c>
      <c r="E119" s="3" t="s">
        <v>1307</v>
      </c>
      <c r="G119" s="18"/>
      <c r="H119" t="s">
        <v>1499</v>
      </c>
      <c r="K119" s="7" t="str">
        <f t="shared" si="3"/>
        <v>Pump3</v>
      </c>
      <c r="L119" s="7" t="str">
        <f t="shared" si="4"/>
        <v>FB_Fault_SS</v>
      </c>
    </row>
    <row r="120" spans="1:12" x14ac:dyDescent="0.25">
      <c r="A120" s="2">
        <v>115</v>
      </c>
      <c r="B120" s="3" t="s">
        <v>236</v>
      </c>
      <c r="C120" s="2" t="s">
        <v>237</v>
      </c>
      <c r="D120" s="2" t="s">
        <v>7</v>
      </c>
      <c r="E120" s="3" t="s">
        <v>1356</v>
      </c>
      <c r="G120" s="18"/>
      <c r="K120" s="7" t="str">
        <f t="shared" si="3"/>
        <v>Pump3</v>
      </c>
      <c r="L120" s="7" t="str">
        <f t="shared" si="4"/>
        <v>FB_Fault_Temp</v>
      </c>
    </row>
    <row r="121" spans="1:12" x14ac:dyDescent="0.25">
      <c r="A121" s="2">
        <v>116</v>
      </c>
      <c r="B121" s="3" t="s">
        <v>238</v>
      </c>
      <c r="C121" s="2" t="s">
        <v>239</v>
      </c>
      <c r="D121" s="2" t="s">
        <v>7</v>
      </c>
      <c r="E121" s="3" t="s">
        <v>1307</v>
      </c>
      <c r="G121" s="18"/>
      <c r="K121" s="7" t="str">
        <f t="shared" si="3"/>
        <v>Pump3</v>
      </c>
      <c r="L121" s="7" t="str">
        <f t="shared" si="4"/>
        <v>FB_Fault_Curent</v>
      </c>
    </row>
    <row r="122" spans="1:12" x14ac:dyDescent="0.25">
      <c r="A122" s="2">
        <v>117</v>
      </c>
      <c r="B122" s="3" t="s">
        <v>240</v>
      </c>
      <c r="C122" s="2" t="s">
        <v>241</v>
      </c>
      <c r="D122" s="2" t="s">
        <v>7</v>
      </c>
      <c r="E122" s="3" t="s">
        <v>1357</v>
      </c>
      <c r="G122" s="18"/>
      <c r="K122" s="7" t="str">
        <f t="shared" si="3"/>
        <v>Pump3</v>
      </c>
      <c r="L122" s="7" t="str">
        <f t="shared" si="4"/>
        <v>Clock_1m</v>
      </c>
    </row>
    <row r="123" spans="1:12" x14ac:dyDescent="0.25">
      <c r="A123" s="2">
        <v>118</v>
      </c>
      <c r="B123" s="3" t="s">
        <v>242</v>
      </c>
      <c r="C123" s="2" t="s">
        <v>243</v>
      </c>
      <c r="D123" s="2" t="s">
        <v>7</v>
      </c>
      <c r="E123" s="3" t="s">
        <v>1358</v>
      </c>
      <c r="G123" s="18"/>
      <c r="H123" t="s">
        <v>1498</v>
      </c>
      <c r="K123" s="7" t="str">
        <f t="shared" si="3"/>
        <v>Pump3</v>
      </c>
      <c r="L123" s="7" t="str">
        <f t="shared" si="4"/>
        <v>FB_stop</v>
      </c>
    </row>
    <row r="124" spans="1:12" x14ac:dyDescent="0.25">
      <c r="A124" s="2">
        <v>8</v>
      </c>
      <c r="B124" s="12" t="s">
        <v>1435</v>
      </c>
      <c r="C124" s="2" t="s">
        <v>21</v>
      </c>
      <c r="D124" s="2" t="s">
        <v>7</v>
      </c>
      <c r="E124" s="3" t="s">
        <v>1393</v>
      </c>
      <c r="G124" s="18"/>
      <c r="H124" t="s">
        <v>1494</v>
      </c>
      <c r="K124" s="7" t="str">
        <f t="shared" si="3"/>
        <v>Pump3</v>
      </c>
      <c r="L124" s="7" t="str">
        <f t="shared" si="4"/>
        <v>FB_maintenance</v>
      </c>
    </row>
    <row r="125" spans="1:12" x14ac:dyDescent="0.25">
      <c r="A125" s="2">
        <v>119</v>
      </c>
      <c r="B125" s="3" t="s">
        <v>244</v>
      </c>
      <c r="C125" s="2" t="s">
        <v>245</v>
      </c>
      <c r="D125" s="2" t="s">
        <v>24</v>
      </c>
      <c r="E125" s="3" t="s">
        <v>1352</v>
      </c>
      <c r="G125" s="18"/>
      <c r="K125" s="7" t="str">
        <f t="shared" si="3"/>
        <v>Pump3</v>
      </c>
      <c r="L125" s="7" t="str">
        <f t="shared" si="4"/>
        <v>FB_Temp_DEBearing</v>
      </c>
    </row>
    <row r="126" spans="1:12" x14ac:dyDescent="0.25">
      <c r="A126" s="2">
        <v>120</v>
      </c>
      <c r="B126" s="3" t="s">
        <v>246</v>
      </c>
      <c r="C126" s="2" t="s">
        <v>247</v>
      </c>
      <c r="D126" s="2" t="s">
        <v>24</v>
      </c>
      <c r="E126" s="3" t="s">
        <v>1353</v>
      </c>
      <c r="G126" s="18"/>
      <c r="K126" s="7" t="str">
        <f t="shared" si="3"/>
        <v>Pump3</v>
      </c>
      <c r="L126" s="7" t="str">
        <f t="shared" si="4"/>
        <v>FB_Temp_NDEBearing</v>
      </c>
    </row>
    <row r="127" spans="1:12" x14ac:dyDescent="0.25">
      <c r="A127" s="2">
        <v>121</v>
      </c>
      <c r="B127" s="3" t="s">
        <v>248</v>
      </c>
      <c r="C127" s="2" t="s">
        <v>249</v>
      </c>
      <c r="D127" s="2" t="s">
        <v>24</v>
      </c>
      <c r="E127" s="3" t="s">
        <v>1308</v>
      </c>
      <c r="G127" s="18"/>
      <c r="K127" s="7" t="str">
        <f t="shared" si="3"/>
        <v>Pump3</v>
      </c>
      <c r="L127" s="7" t="str">
        <f t="shared" si="4"/>
        <v>FB_Temp_PhaseA</v>
      </c>
    </row>
    <row r="128" spans="1:12" x14ac:dyDescent="0.25">
      <c r="A128" s="2">
        <v>122</v>
      </c>
      <c r="B128" s="3" t="s">
        <v>250</v>
      </c>
      <c r="C128" s="2" t="s">
        <v>251</v>
      </c>
      <c r="D128" s="2" t="s">
        <v>24</v>
      </c>
      <c r="E128" s="3" t="s">
        <v>1309</v>
      </c>
      <c r="G128" s="18"/>
      <c r="K128" s="7" t="str">
        <f t="shared" si="3"/>
        <v>Pump3</v>
      </c>
      <c r="L128" s="7" t="str">
        <f t="shared" si="4"/>
        <v>FB_Temp_PhaseB</v>
      </c>
    </row>
    <row r="129" spans="1:12" x14ac:dyDescent="0.25">
      <c r="A129" s="2">
        <v>123</v>
      </c>
      <c r="B129" s="3" t="s">
        <v>252</v>
      </c>
      <c r="C129" s="2" t="s">
        <v>253</v>
      </c>
      <c r="D129" s="2" t="s">
        <v>24</v>
      </c>
      <c r="E129" s="3" t="s">
        <v>1310</v>
      </c>
      <c r="G129" s="18"/>
      <c r="K129" s="7" t="str">
        <f t="shared" si="3"/>
        <v>Pump3</v>
      </c>
      <c r="L129" s="7" t="str">
        <f t="shared" si="4"/>
        <v>FB_Temp_PhaseC</v>
      </c>
    </row>
    <row r="130" spans="1:12" x14ac:dyDescent="0.25">
      <c r="A130" s="2">
        <v>124</v>
      </c>
      <c r="B130" s="3" t="s">
        <v>254</v>
      </c>
      <c r="C130" s="2" t="s">
        <v>255</v>
      </c>
      <c r="D130" s="2" t="s">
        <v>35</v>
      </c>
      <c r="E130" s="3" t="s">
        <v>1315</v>
      </c>
      <c r="G130" s="18"/>
      <c r="K130" s="7" t="str">
        <f t="shared" si="3"/>
        <v>Meter3</v>
      </c>
      <c r="L130" s="7" t="str">
        <f t="shared" si="4"/>
        <v>U1</v>
      </c>
    </row>
    <row r="131" spans="1:12" x14ac:dyDescent="0.25">
      <c r="A131" s="2">
        <v>125</v>
      </c>
      <c r="B131" s="3" t="s">
        <v>256</v>
      </c>
      <c r="C131" s="2" t="s">
        <v>257</v>
      </c>
      <c r="D131" s="2" t="s">
        <v>35</v>
      </c>
      <c r="E131" s="3" t="s">
        <v>1316</v>
      </c>
      <c r="G131" s="18"/>
      <c r="K131" s="7" t="str">
        <f t="shared" si="3"/>
        <v>Meter3</v>
      </c>
      <c r="L131" s="7" t="str">
        <f t="shared" si="4"/>
        <v>U2</v>
      </c>
    </row>
    <row r="132" spans="1:12" x14ac:dyDescent="0.25">
      <c r="A132" s="2">
        <v>126</v>
      </c>
      <c r="B132" s="3" t="s">
        <v>258</v>
      </c>
      <c r="C132" s="2" t="s">
        <v>259</v>
      </c>
      <c r="D132" s="2" t="s">
        <v>35</v>
      </c>
      <c r="E132" s="3" t="s">
        <v>1317</v>
      </c>
      <c r="G132" s="18"/>
      <c r="K132" s="7" t="str">
        <f t="shared" si="3"/>
        <v>Meter3</v>
      </c>
      <c r="L132" s="7" t="str">
        <f t="shared" si="4"/>
        <v>U3</v>
      </c>
    </row>
    <row r="133" spans="1:12" x14ac:dyDescent="0.25">
      <c r="A133" s="2">
        <v>127</v>
      </c>
      <c r="B133" s="3" t="s">
        <v>260</v>
      </c>
      <c r="C133" s="2" t="s">
        <v>261</v>
      </c>
      <c r="D133" s="2" t="s">
        <v>35</v>
      </c>
      <c r="E133" s="3" t="s">
        <v>1318</v>
      </c>
      <c r="G133" s="18"/>
      <c r="K133" s="7" t="str">
        <f t="shared" si="3"/>
        <v>Meter3</v>
      </c>
      <c r="L133" s="7" t="str">
        <f t="shared" si="4"/>
        <v>U_Ph</v>
      </c>
    </row>
    <row r="134" spans="1:12" x14ac:dyDescent="0.25">
      <c r="A134" s="2">
        <v>128</v>
      </c>
      <c r="B134" s="3" t="s">
        <v>262</v>
      </c>
      <c r="C134" s="2" t="s">
        <v>263</v>
      </c>
      <c r="D134" s="2" t="s">
        <v>35</v>
      </c>
      <c r="E134" s="3" t="s">
        <v>1319</v>
      </c>
      <c r="G134" s="18"/>
      <c r="H134" t="s">
        <v>1486</v>
      </c>
      <c r="K134" s="7" t="str">
        <f t="shared" si="3"/>
        <v>Meter3</v>
      </c>
      <c r="L134" s="7" t="str">
        <f t="shared" si="4"/>
        <v>U12</v>
      </c>
    </row>
    <row r="135" spans="1:12" x14ac:dyDescent="0.25">
      <c r="A135" s="2">
        <v>129</v>
      </c>
      <c r="B135" s="3" t="s">
        <v>264</v>
      </c>
      <c r="C135" s="2" t="s">
        <v>265</v>
      </c>
      <c r="D135" s="2" t="s">
        <v>35</v>
      </c>
      <c r="E135" s="3" t="s">
        <v>1320</v>
      </c>
      <c r="G135" s="18"/>
      <c r="H135" t="s">
        <v>1487</v>
      </c>
      <c r="K135" s="7" t="str">
        <f t="shared" si="3"/>
        <v>Meter3</v>
      </c>
      <c r="L135" s="7" t="str">
        <f t="shared" si="4"/>
        <v>U23</v>
      </c>
    </row>
    <row r="136" spans="1:12" x14ac:dyDescent="0.25">
      <c r="A136" s="2">
        <v>130</v>
      </c>
      <c r="B136" s="3" t="s">
        <v>266</v>
      </c>
      <c r="C136" s="2" t="s">
        <v>267</v>
      </c>
      <c r="D136" s="2" t="s">
        <v>35</v>
      </c>
      <c r="E136" s="3" t="s">
        <v>1321</v>
      </c>
      <c r="G136" s="18"/>
      <c r="H136" t="s">
        <v>1488</v>
      </c>
      <c r="K136" s="7" t="str">
        <f t="shared" ref="K136:K200" si="5">LEFT(B136, SEARCH("_",B136 ) - 1)</f>
        <v>Meter3</v>
      </c>
      <c r="L136" s="7" t="str">
        <f t="shared" si="4"/>
        <v>U31</v>
      </c>
    </row>
    <row r="137" spans="1:12" x14ac:dyDescent="0.25">
      <c r="A137" s="2">
        <v>131</v>
      </c>
      <c r="B137" s="3" t="s">
        <v>268</v>
      </c>
      <c r="C137" s="2" t="s">
        <v>269</v>
      </c>
      <c r="D137" s="2" t="s">
        <v>35</v>
      </c>
      <c r="E137" s="3" t="s">
        <v>1322</v>
      </c>
      <c r="G137" s="18"/>
      <c r="K137" s="7" t="str">
        <f t="shared" si="5"/>
        <v>Meter3</v>
      </c>
      <c r="L137" s="7" t="str">
        <f t="shared" si="4"/>
        <v>Uline</v>
      </c>
    </row>
    <row r="138" spans="1:12" x14ac:dyDescent="0.25">
      <c r="A138" s="2">
        <v>132</v>
      </c>
      <c r="B138" s="3" t="s">
        <v>270</v>
      </c>
      <c r="C138" s="2" t="s">
        <v>271</v>
      </c>
      <c r="D138" s="2" t="s">
        <v>35</v>
      </c>
      <c r="E138" s="3" t="s">
        <v>1312</v>
      </c>
      <c r="G138" s="18"/>
      <c r="H138" s="7" t="s">
        <v>1483</v>
      </c>
      <c r="K138" s="7" t="str">
        <f t="shared" si="5"/>
        <v>Meter3</v>
      </c>
      <c r="L138" s="7" t="str">
        <f t="shared" si="4"/>
        <v>I1</v>
      </c>
    </row>
    <row r="139" spans="1:12" x14ac:dyDescent="0.25">
      <c r="A139" s="2">
        <v>133</v>
      </c>
      <c r="B139" s="3" t="s">
        <v>272</v>
      </c>
      <c r="C139" s="2" t="s">
        <v>273</v>
      </c>
      <c r="D139" s="2" t="s">
        <v>35</v>
      </c>
      <c r="E139" s="3" t="s">
        <v>1313</v>
      </c>
      <c r="G139" s="18"/>
      <c r="H139" s="7" t="s">
        <v>1484</v>
      </c>
      <c r="K139" s="7" t="str">
        <f t="shared" si="5"/>
        <v>Meter3</v>
      </c>
      <c r="L139" s="7" t="str">
        <f t="shared" si="4"/>
        <v>I2</v>
      </c>
    </row>
    <row r="140" spans="1:12" x14ac:dyDescent="0.25">
      <c r="A140" s="2">
        <v>134</v>
      </c>
      <c r="B140" s="3" t="s">
        <v>274</v>
      </c>
      <c r="C140" s="2" t="s">
        <v>275</v>
      </c>
      <c r="D140" s="2" t="s">
        <v>35</v>
      </c>
      <c r="E140" s="3" t="s">
        <v>1314</v>
      </c>
      <c r="G140" s="18"/>
      <c r="H140" s="7" t="s">
        <v>1485</v>
      </c>
      <c r="K140" s="7" t="str">
        <f t="shared" si="5"/>
        <v>Meter3</v>
      </c>
      <c r="L140" s="7" t="str">
        <f t="shared" si="4"/>
        <v>I3</v>
      </c>
    </row>
    <row r="141" spans="1:12" x14ac:dyDescent="0.25">
      <c r="A141" s="2">
        <v>135</v>
      </c>
      <c r="B141" s="3" t="s">
        <v>276</v>
      </c>
      <c r="C141" s="2" t="s">
        <v>277</v>
      </c>
      <c r="D141" s="2" t="s">
        <v>35</v>
      </c>
      <c r="E141" s="3" t="s">
        <v>1311</v>
      </c>
      <c r="G141" s="18"/>
      <c r="H141" s="3" t="s">
        <v>1311</v>
      </c>
      <c r="K141" s="7" t="str">
        <f t="shared" si="5"/>
        <v>Meter3</v>
      </c>
      <c r="L141" s="7" t="str">
        <f t="shared" ref="L141:L205" si="6">RIGHT(B141, LEN(B141)-SEARCH("_",B141 ))</f>
        <v>I_ph</v>
      </c>
    </row>
    <row r="142" spans="1:12" x14ac:dyDescent="0.25">
      <c r="A142" s="2">
        <v>136</v>
      </c>
      <c r="B142" s="3" t="s">
        <v>278</v>
      </c>
      <c r="C142" s="2" t="s">
        <v>279</v>
      </c>
      <c r="D142" s="2" t="s">
        <v>35</v>
      </c>
      <c r="E142" s="3" t="s">
        <v>1323</v>
      </c>
      <c r="G142" s="18"/>
      <c r="K142" s="7" t="str">
        <f t="shared" si="5"/>
        <v>Meter3</v>
      </c>
      <c r="L142" s="7" t="str">
        <f t="shared" si="6"/>
        <v>kw1</v>
      </c>
    </row>
    <row r="143" spans="1:12" x14ac:dyDescent="0.25">
      <c r="A143" s="2">
        <v>137</v>
      </c>
      <c r="B143" s="3" t="s">
        <v>280</v>
      </c>
      <c r="C143" s="2" t="s">
        <v>281</v>
      </c>
      <c r="D143" s="2" t="s">
        <v>35</v>
      </c>
      <c r="E143" s="3" t="s">
        <v>1324</v>
      </c>
      <c r="G143" s="18"/>
      <c r="K143" s="7" t="str">
        <f t="shared" si="5"/>
        <v>Meter3</v>
      </c>
      <c r="L143" s="7" t="str">
        <f t="shared" si="6"/>
        <v>kw2</v>
      </c>
    </row>
    <row r="144" spans="1:12" x14ac:dyDescent="0.25">
      <c r="A144" s="2">
        <v>138</v>
      </c>
      <c r="B144" s="3" t="s">
        <v>282</v>
      </c>
      <c r="C144" s="2" t="s">
        <v>283</v>
      </c>
      <c r="D144" s="2" t="s">
        <v>35</v>
      </c>
      <c r="E144" s="3" t="s">
        <v>1325</v>
      </c>
      <c r="G144" s="18"/>
      <c r="K144" s="7" t="str">
        <f t="shared" si="5"/>
        <v>Meter3</v>
      </c>
      <c r="L144" s="7" t="str">
        <f t="shared" si="6"/>
        <v>kw3</v>
      </c>
    </row>
    <row r="145" spans="1:12" x14ac:dyDescent="0.25">
      <c r="A145" s="2">
        <v>139</v>
      </c>
      <c r="B145" s="3" t="s">
        <v>284</v>
      </c>
      <c r="C145" s="2" t="s">
        <v>285</v>
      </c>
      <c r="D145" s="2" t="s">
        <v>35</v>
      </c>
      <c r="E145" s="3" t="s">
        <v>1326</v>
      </c>
      <c r="G145" s="18"/>
      <c r="K145" s="7" t="str">
        <f t="shared" si="5"/>
        <v>Meter3</v>
      </c>
      <c r="L145" s="7" t="str">
        <f t="shared" si="6"/>
        <v>kva1</v>
      </c>
    </row>
    <row r="146" spans="1:12" x14ac:dyDescent="0.25">
      <c r="A146" s="2">
        <v>140</v>
      </c>
      <c r="B146" s="3" t="s">
        <v>286</v>
      </c>
      <c r="C146" s="2" t="s">
        <v>287</v>
      </c>
      <c r="D146" s="2" t="s">
        <v>35</v>
      </c>
      <c r="E146" s="3" t="s">
        <v>1327</v>
      </c>
      <c r="G146" s="18"/>
      <c r="K146" s="7" t="str">
        <f t="shared" si="5"/>
        <v>Meter3</v>
      </c>
      <c r="L146" s="7" t="str">
        <f t="shared" si="6"/>
        <v>kva2</v>
      </c>
    </row>
    <row r="147" spans="1:12" x14ac:dyDescent="0.25">
      <c r="A147" s="2">
        <v>141</v>
      </c>
      <c r="B147" s="3" t="s">
        <v>288</v>
      </c>
      <c r="C147" s="2" t="s">
        <v>289</v>
      </c>
      <c r="D147" s="2" t="s">
        <v>35</v>
      </c>
      <c r="E147" s="3" t="s">
        <v>1328</v>
      </c>
      <c r="G147" s="18"/>
      <c r="K147" s="7" t="str">
        <f t="shared" si="5"/>
        <v>Meter3</v>
      </c>
      <c r="L147" s="7" t="str">
        <f t="shared" si="6"/>
        <v>kva3</v>
      </c>
    </row>
    <row r="148" spans="1:12" x14ac:dyDescent="0.25">
      <c r="A148" s="2">
        <v>142</v>
      </c>
      <c r="B148" s="3" t="s">
        <v>290</v>
      </c>
      <c r="C148" s="2" t="s">
        <v>291</v>
      </c>
      <c r="D148" s="2" t="s">
        <v>35</v>
      </c>
      <c r="E148" s="3" t="s">
        <v>1329</v>
      </c>
      <c r="G148" s="18"/>
      <c r="K148" s="7" t="str">
        <f t="shared" si="5"/>
        <v>Meter3</v>
      </c>
      <c r="L148" s="7" t="str">
        <f t="shared" si="6"/>
        <v>kvar1</v>
      </c>
    </row>
    <row r="149" spans="1:12" x14ac:dyDescent="0.25">
      <c r="A149" s="2">
        <v>143</v>
      </c>
      <c r="B149" s="3" t="s">
        <v>292</v>
      </c>
      <c r="C149" s="2" t="s">
        <v>293</v>
      </c>
      <c r="D149" s="2" t="s">
        <v>35</v>
      </c>
      <c r="E149" s="3" t="s">
        <v>1330</v>
      </c>
      <c r="G149" s="18"/>
      <c r="K149" s="7" t="str">
        <f t="shared" si="5"/>
        <v>Meter3</v>
      </c>
      <c r="L149" s="7" t="str">
        <f t="shared" si="6"/>
        <v>kvar2</v>
      </c>
    </row>
    <row r="150" spans="1:12" x14ac:dyDescent="0.25">
      <c r="A150" s="2">
        <v>144</v>
      </c>
      <c r="B150" s="3" t="s">
        <v>294</v>
      </c>
      <c r="C150" s="2" t="s">
        <v>295</v>
      </c>
      <c r="D150" s="2" t="s">
        <v>35</v>
      </c>
      <c r="E150" s="3" t="s">
        <v>1331</v>
      </c>
      <c r="G150" s="18"/>
      <c r="K150" s="7" t="str">
        <f t="shared" si="5"/>
        <v>Meter3</v>
      </c>
      <c r="L150" s="7" t="str">
        <f t="shared" si="6"/>
        <v>kvar3</v>
      </c>
    </row>
    <row r="151" spans="1:12" x14ac:dyDescent="0.25">
      <c r="A151" s="2">
        <v>145</v>
      </c>
      <c r="B151" s="3" t="s">
        <v>296</v>
      </c>
      <c r="C151" s="2" t="s">
        <v>297</v>
      </c>
      <c r="D151" s="2" t="s">
        <v>35</v>
      </c>
      <c r="E151" s="3" t="s">
        <v>1332</v>
      </c>
      <c r="G151" s="18"/>
      <c r="K151" s="7" t="str">
        <f t="shared" si="5"/>
        <v>Meter3</v>
      </c>
      <c r="L151" s="7" t="str">
        <f t="shared" si="6"/>
        <v>total_kw</v>
      </c>
    </row>
    <row r="152" spans="1:12" x14ac:dyDescent="0.25">
      <c r="A152" s="2">
        <v>146</v>
      </c>
      <c r="B152" s="3" t="s">
        <v>298</v>
      </c>
      <c r="C152" s="2" t="s">
        <v>299</v>
      </c>
      <c r="D152" s="2" t="s">
        <v>35</v>
      </c>
      <c r="E152" s="3" t="s">
        <v>1333</v>
      </c>
      <c r="G152" s="18"/>
      <c r="K152" s="7" t="str">
        <f t="shared" si="5"/>
        <v>Meter3</v>
      </c>
      <c r="L152" s="7" t="str">
        <f t="shared" si="6"/>
        <v>total_kva</v>
      </c>
    </row>
    <row r="153" spans="1:12" x14ac:dyDescent="0.25">
      <c r="A153" s="2">
        <v>147</v>
      </c>
      <c r="B153" s="3" t="s">
        <v>300</v>
      </c>
      <c r="C153" s="2" t="s">
        <v>301</v>
      </c>
      <c r="D153" s="2" t="s">
        <v>35</v>
      </c>
      <c r="E153" s="3" t="s">
        <v>1334</v>
      </c>
      <c r="G153" s="18"/>
      <c r="K153" s="7" t="str">
        <f t="shared" si="5"/>
        <v>Meter3</v>
      </c>
      <c r="L153" s="7" t="str">
        <f t="shared" si="6"/>
        <v>total_kvar</v>
      </c>
    </row>
    <row r="154" spans="1:12" x14ac:dyDescent="0.25">
      <c r="A154" s="2">
        <v>148</v>
      </c>
      <c r="B154" s="3" t="s">
        <v>302</v>
      </c>
      <c r="C154" s="2" t="s">
        <v>303</v>
      </c>
      <c r="D154" s="2" t="s">
        <v>35</v>
      </c>
      <c r="E154" s="3" t="s">
        <v>1335</v>
      </c>
      <c r="G154" s="18"/>
      <c r="K154" s="7" t="str">
        <f t="shared" si="5"/>
        <v>Meter3</v>
      </c>
      <c r="L154" s="7" t="str">
        <f t="shared" si="6"/>
        <v>PF1</v>
      </c>
    </row>
    <row r="155" spans="1:12" x14ac:dyDescent="0.25">
      <c r="A155" s="2">
        <v>149</v>
      </c>
      <c r="B155" s="3" t="s">
        <v>304</v>
      </c>
      <c r="C155" s="2" t="s">
        <v>305</v>
      </c>
      <c r="D155" s="2" t="s">
        <v>35</v>
      </c>
      <c r="E155" s="3" t="s">
        <v>1336</v>
      </c>
      <c r="G155" s="18"/>
      <c r="K155" s="7" t="str">
        <f t="shared" si="5"/>
        <v>Meter3</v>
      </c>
      <c r="L155" s="7" t="str">
        <f t="shared" si="6"/>
        <v>PF2</v>
      </c>
    </row>
    <row r="156" spans="1:12" x14ac:dyDescent="0.25">
      <c r="A156" s="2">
        <v>150</v>
      </c>
      <c r="B156" s="3" t="s">
        <v>306</v>
      </c>
      <c r="C156" s="2" t="s">
        <v>307</v>
      </c>
      <c r="D156" s="2" t="s">
        <v>35</v>
      </c>
      <c r="E156" s="3" t="s">
        <v>1337</v>
      </c>
      <c r="G156" s="18"/>
      <c r="K156" s="7" t="str">
        <f t="shared" si="5"/>
        <v>Meter3</v>
      </c>
      <c r="L156" s="7" t="str">
        <f t="shared" si="6"/>
        <v>PF3</v>
      </c>
    </row>
    <row r="157" spans="1:12" x14ac:dyDescent="0.25">
      <c r="A157" s="2">
        <v>151</v>
      </c>
      <c r="B157" s="3" t="s">
        <v>308</v>
      </c>
      <c r="C157" s="2" t="s">
        <v>309</v>
      </c>
      <c r="D157" s="2" t="s">
        <v>35</v>
      </c>
      <c r="E157" s="3" t="s">
        <v>1338</v>
      </c>
      <c r="G157" s="18"/>
      <c r="K157" s="7" t="str">
        <f t="shared" si="5"/>
        <v>Meter3</v>
      </c>
      <c r="L157" s="7" t="str">
        <f t="shared" si="6"/>
        <v>PF</v>
      </c>
    </row>
    <row r="158" spans="1:12" x14ac:dyDescent="0.25">
      <c r="A158" s="2">
        <v>152</v>
      </c>
      <c r="B158" s="3" t="s">
        <v>310</v>
      </c>
      <c r="C158" s="2" t="s">
        <v>311</v>
      </c>
      <c r="D158" s="2" t="s">
        <v>35</v>
      </c>
      <c r="E158" s="3" t="s">
        <v>1339</v>
      </c>
      <c r="G158" s="18"/>
      <c r="K158" s="7" t="str">
        <f t="shared" si="5"/>
        <v>Meter3</v>
      </c>
      <c r="L158" s="7" t="str">
        <f t="shared" si="6"/>
        <v>freq</v>
      </c>
    </row>
    <row r="159" spans="1:12" x14ac:dyDescent="0.25">
      <c r="A159" s="2">
        <v>153</v>
      </c>
      <c r="B159" s="3" t="s">
        <v>312</v>
      </c>
      <c r="C159" s="2" t="s">
        <v>313</v>
      </c>
      <c r="D159" s="2" t="s">
        <v>35</v>
      </c>
      <c r="E159" s="3" t="s">
        <v>1340</v>
      </c>
      <c r="G159" s="18"/>
      <c r="K159" s="7" t="str">
        <f t="shared" si="5"/>
        <v>Meter3</v>
      </c>
      <c r="L159" s="7" t="str">
        <f t="shared" si="6"/>
        <v>kwh</v>
      </c>
    </row>
    <row r="160" spans="1:12" x14ac:dyDescent="0.25">
      <c r="A160" s="2">
        <v>154</v>
      </c>
      <c r="B160" s="3" t="s">
        <v>314</v>
      </c>
      <c r="C160" s="2" t="s">
        <v>315</v>
      </c>
      <c r="D160" s="2" t="s">
        <v>35</v>
      </c>
      <c r="E160" s="3" t="s">
        <v>1341</v>
      </c>
      <c r="G160" s="18"/>
      <c r="K160" s="7" t="str">
        <f t="shared" si="5"/>
        <v>Meter3</v>
      </c>
      <c r="L160" s="7" t="str">
        <f t="shared" si="6"/>
        <v>kvah</v>
      </c>
    </row>
    <row r="161" spans="1:12" x14ac:dyDescent="0.25">
      <c r="A161" s="2">
        <v>155</v>
      </c>
      <c r="B161" s="3" t="s">
        <v>316</v>
      </c>
      <c r="C161" s="2" t="s">
        <v>317</v>
      </c>
      <c r="D161" s="2" t="s">
        <v>35</v>
      </c>
      <c r="E161" s="3" t="s">
        <v>1342</v>
      </c>
      <c r="G161" s="18"/>
      <c r="K161" s="7" t="str">
        <f t="shared" si="5"/>
        <v>Meter3</v>
      </c>
      <c r="L161" s="7" t="str">
        <f t="shared" si="6"/>
        <v>kvarh</v>
      </c>
    </row>
    <row r="162" spans="1:12" x14ac:dyDescent="0.25">
      <c r="A162" s="2">
        <v>156</v>
      </c>
      <c r="B162" s="3" t="s">
        <v>318</v>
      </c>
      <c r="C162" s="2" t="s">
        <v>319</v>
      </c>
      <c r="D162" s="2" t="s">
        <v>7</v>
      </c>
      <c r="E162" s="3" t="s">
        <v>1343</v>
      </c>
      <c r="G162" s="18"/>
      <c r="K162" s="7" t="str">
        <f t="shared" si="5"/>
        <v>Pump3</v>
      </c>
      <c r="L162" s="7" t="str">
        <f t="shared" si="6"/>
        <v>Ctrl_run_Pump</v>
      </c>
    </row>
    <row r="163" spans="1:12" x14ac:dyDescent="0.25">
      <c r="A163" s="2">
        <v>157</v>
      </c>
      <c r="B163" s="3" t="s">
        <v>320</v>
      </c>
      <c r="C163" s="2" t="s">
        <v>321</v>
      </c>
      <c r="D163" s="2" t="s">
        <v>7</v>
      </c>
      <c r="E163" s="3" t="s">
        <v>1354</v>
      </c>
      <c r="G163" s="18"/>
      <c r="H163" t="s">
        <v>1496</v>
      </c>
      <c r="K163" s="7" t="str">
        <f t="shared" si="5"/>
        <v>Pump3</v>
      </c>
      <c r="L163" s="7" t="str">
        <f t="shared" si="6"/>
        <v>FB_Fault</v>
      </c>
    </row>
    <row r="164" spans="1:12" x14ac:dyDescent="0.25">
      <c r="A164" s="2">
        <v>158</v>
      </c>
      <c r="B164" s="3" t="s">
        <v>322</v>
      </c>
      <c r="C164" s="2" t="s">
        <v>323</v>
      </c>
      <c r="D164" s="2" t="s">
        <v>7</v>
      </c>
      <c r="E164" s="3" t="s">
        <v>1344</v>
      </c>
      <c r="G164" s="18"/>
      <c r="K164" s="7" t="str">
        <f t="shared" si="5"/>
        <v>Pump3</v>
      </c>
      <c r="L164" s="7" t="str">
        <f t="shared" si="6"/>
        <v>Ctrl_PB_Run</v>
      </c>
    </row>
    <row r="165" spans="1:12" x14ac:dyDescent="0.25">
      <c r="A165" s="2">
        <v>159</v>
      </c>
      <c r="B165" s="3" t="s">
        <v>324</v>
      </c>
      <c r="C165" s="2" t="s">
        <v>325</v>
      </c>
      <c r="D165" s="2" t="s">
        <v>7</v>
      </c>
      <c r="E165" s="3" t="s">
        <v>1345</v>
      </c>
      <c r="G165" s="18"/>
      <c r="K165" s="7" t="str">
        <f t="shared" si="5"/>
        <v>Pump3</v>
      </c>
      <c r="L165" s="7" t="str">
        <f t="shared" si="6"/>
        <v>Ctrl_PB_Stop</v>
      </c>
    </row>
    <row r="166" spans="1:12" x14ac:dyDescent="0.25">
      <c r="A166" s="2">
        <v>160</v>
      </c>
      <c r="B166" s="3" t="s">
        <v>326</v>
      </c>
      <c r="C166" s="2" t="s">
        <v>327</v>
      </c>
      <c r="D166" s="2" t="s">
        <v>7</v>
      </c>
      <c r="E166" s="3" t="s">
        <v>1346</v>
      </c>
      <c r="G166" s="18"/>
      <c r="K166" s="7" t="str">
        <f t="shared" si="5"/>
        <v>Pump3</v>
      </c>
      <c r="L166" s="7" t="str">
        <f t="shared" si="6"/>
        <v>Ctrl_PB_RST</v>
      </c>
    </row>
    <row r="167" spans="1:12" x14ac:dyDescent="0.25">
      <c r="A167" s="2">
        <v>161</v>
      </c>
      <c r="B167" s="3" t="s">
        <v>328</v>
      </c>
      <c r="C167" s="2" t="s">
        <v>329</v>
      </c>
      <c r="D167" s="2" t="s">
        <v>24</v>
      </c>
      <c r="E167" s="3" t="s">
        <v>1347</v>
      </c>
      <c r="G167" s="18"/>
      <c r="K167" s="7" t="str">
        <f t="shared" si="5"/>
        <v>Pump3</v>
      </c>
      <c r="L167" s="7" t="str">
        <f t="shared" si="6"/>
        <v>Time_Run_M</v>
      </c>
    </row>
    <row r="168" spans="1:12" x14ac:dyDescent="0.25">
      <c r="A168" s="2">
        <v>162</v>
      </c>
      <c r="B168" s="3" t="s">
        <v>330</v>
      </c>
      <c r="C168" s="2" t="s">
        <v>331</v>
      </c>
      <c r="D168" s="2" t="s">
        <v>24</v>
      </c>
      <c r="E168" s="3" t="s">
        <v>1348</v>
      </c>
      <c r="G168" s="18"/>
      <c r="K168" s="7" t="str">
        <f t="shared" si="5"/>
        <v>Pump3</v>
      </c>
      <c r="L168" s="7" t="str">
        <f t="shared" si="6"/>
        <v>Time_Run_H</v>
      </c>
    </row>
    <row r="169" spans="1:12" x14ac:dyDescent="0.25">
      <c r="A169" s="2">
        <v>163</v>
      </c>
      <c r="B169" s="3" t="s">
        <v>332</v>
      </c>
      <c r="C169" s="2" t="s">
        <v>333</v>
      </c>
      <c r="D169" s="2" t="s">
        <v>24</v>
      </c>
      <c r="E169" s="3" t="s">
        <v>1349</v>
      </c>
      <c r="G169" s="18"/>
      <c r="K169" s="7" t="str">
        <f t="shared" si="5"/>
        <v>Pump3</v>
      </c>
      <c r="L169" s="7" t="str">
        <f t="shared" si="6"/>
        <v>Total_Time_Run_M</v>
      </c>
    </row>
    <row r="170" spans="1:12" x14ac:dyDescent="0.25">
      <c r="A170" s="2">
        <v>164</v>
      </c>
      <c r="B170" s="3" t="s">
        <v>334</v>
      </c>
      <c r="C170" s="2" t="s">
        <v>335</v>
      </c>
      <c r="D170" s="2" t="s">
        <v>24</v>
      </c>
      <c r="E170" s="3" t="s">
        <v>1350</v>
      </c>
      <c r="G170" s="18"/>
      <c r="H170" t="s">
        <v>1407</v>
      </c>
      <c r="K170" s="7" t="str">
        <f t="shared" si="5"/>
        <v>Pump3</v>
      </c>
      <c r="L170" s="7" t="str">
        <f t="shared" si="6"/>
        <v>Total_Time_Run_H</v>
      </c>
    </row>
    <row r="171" spans="1:12" x14ac:dyDescent="0.25">
      <c r="A171" s="2">
        <v>165</v>
      </c>
      <c r="B171" s="3" t="s">
        <v>336</v>
      </c>
      <c r="C171" s="2" t="s">
        <v>337</v>
      </c>
      <c r="D171" s="2" t="s">
        <v>24</v>
      </c>
      <c r="E171" s="3" t="s">
        <v>1351</v>
      </c>
      <c r="G171" s="18"/>
      <c r="K171" s="7" t="str">
        <f t="shared" si="5"/>
        <v>Pump3</v>
      </c>
      <c r="L171" s="7" t="str">
        <f t="shared" si="6"/>
        <v>NumberOfclose</v>
      </c>
    </row>
    <row r="172" spans="1:12" x14ac:dyDescent="0.25">
      <c r="A172" s="2">
        <v>166</v>
      </c>
      <c r="B172" s="3" t="s">
        <v>338</v>
      </c>
      <c r="C172" s="2" t="s">
        <v>339</v>
      </c>
      <c r="D172" s="2" t="s">
        <v>7</v>
      </c>
      <c r="E172" s="3" t="s">
        <v>1355</v>
      </c>
      <c r="G172" s="18" t="s">
        <v>1492</v>
      </c>
      <c r="K172" s="7" t="str">
        <f t="shared" si="5"/>
        <v>Pump4</v>
      </c>
      <c r="L172" s="7" t="str">
        <f t="shared" si="6"/>
        <v>FB_auto</v>
      </c>
    </row>
    <row r="173" spans="1:12" x14ac:dyDescent="0.25">
      <c r="A173" s="2">
        <v>167</v>
      </c>
      <c r="B173" s="3" t="s">
        <v>340</v>
      </c>
      <c r="C173" s="2" t="s">
        <v>341</v>
      </c>
      <c r="D173" s="2" t="s">
        <v>7</v>
      </c>
      <c r="E173" s="3" t="s">
        <v>1306</v>
      </c>
      <c r="G173" s="18"/>
      <c r="H173" t="s">
        <v>1497</v>
      </c>
      <c r="K173" s="7" t="str">
        <f t="shared" si="5"/>
        <v>Pump4</v>
      </c>
      <c r="L173" s="7" t="str">
        <f t="shared" si="6"/>
        <v>FB_Run</v>
      </c>
    </row>
    <row r="174" spans="1:12" x14ac:dyDescent="0.25">
      <c r="A174" s="2">
        <v>168</v>
      </c>
      <c r="B174" s="3" t="s">
        <v>342</v>
      </c>
      <c r="C174" s="2" t="s">
        <v>343</v>
      </c>
      <c r="D174" s="2" t="s">
        <v>7</v>
      </c>
      <c r="E174" s="3" t="s">
        <v>1307</v>
      </c>
      <c r="G174" s="18"/>
      <c r="K174" s="7" t="str">
        <f t="shared" si="5"/>
        <v>Pump4</v>
      </c>
      <c r="L174" s="7" t="str">
        <f t="shared" si="6"/>
        <v>FB_Fault_V</v>
      </c>
    </row>
    <row r="175" spans="1:12" x14ac:dyDescent="0.25">
      <c r="A175" s="2">
        <v>169</v>
      </c>
      <c r="B175" s="3" t="s">
        <v>344</v>
      </c>
      <c r="C175" s="2" t="s">
        <v>345</v>
      </c>
      <c r="D175" s="2" t="s">
        <v>7</v>
      </c>
      <c r="E175" s="3" t="s">
        <v>1307</v>
      </c>
      <c r="G175" s="18"/>
      <c r="H175" t="s">
        <v>1499</v>
      </c>
      <c r="K175" s="7" t="str">
        <f t="shared" si="5"/>
        <v>Pump4</v>
      </c>
      <c r="L175" s="7" t="str">
        <f t="shared" si="6"/>
        <v>FB_Fault_SS</v>
      </c>
    </row>
    <row r="176" spans="1:12" x14ac:dyDescent="0.25">
      <c r="A176" s="2">
        <v>170</v>
      </c>
      <c r="B176" s="3" t="s">
        <v>346</v>
      </c>
      <c r="C176" s="2" t="s">
        <v>347</v>
      </c>
      <c r="D176" s="2" t="s">
        <v>7</v>
      </c>
      <c r="E176" s="3" t="s">
        <v>1356</v>
      </c>
      <c r="G176" s="18"/>
      <c r="K176" s="7" t="str">
        <f t="shared" si="5"/>
        <v>Pump4</v>
      </c>
      <c r="L176" s="7" t="str">
        <f t="shared" si="6"/>
        <v>FB_Fault_Temp</v>
      </c>
    </row>
    <row r="177" spans="1:12" x14ac:dyDescent="0.25">
      <c r="A177" s="2">
        <v>171</v>
      </c>
      <c r="B177" s="3" t="s">
        <v>348</v>
      </c>
      <c r="C177" s="2" t="s">
        <v>349</v>
      </c>
      <c r="D177" s="2" t="s">
        <v>7</v>
      </c>
      <c r="E177" s="3" t="s">
        <v>1307</v>
      </c>
      <c r="G177" s="18"/>
      <c r="K177" s="7" t="str">
        <f t="shared" si="5"/>
        <v>Pump4</v>
      </c>
      <c r="L177" s="7" t="str">
        <f t="shared" si="6"/>
        <v>FB_Fault_Curent</v>
      </c>
    </row>
    <row r="178" spans="1:12" x14ac:dyDescent="0.25">
      <c r="A178" s="2">
        <v>172</v>
      </c>
      <c r="B178" s="3" t="s">
        <v>350</v>
      </c>
      <c r="C178" s="2" t="s">
        <v>351</v>
      </c>
      <c r="D178" s="2" t="s">
        <v>7</v>
      </c>
      <c r="E178" s="3" t="s">
        <v>1357</v>
      </c>
      <c r="G178" s="18"/>
      <c r="K178" s="7" t="str">
        <f t="shared" si="5"/>
        <v>Pump4</v>
      </c>
      <c r="L178" s="7" t="str">
        <f t="shared" si="6"/>
        <v>Clock_1m</v>
      </c>
    </row>
    <row r="179" spans="1:12" x14ac:dyDescent="0.25">
      <c r="A179" s="2">
        <v>173</v>
      </c>
      <c r="B179" s="3" t="s">
        <v>352</v>
      </c>
      <c r="C179" s="2" t="s">
        <v>353</v>
      </c>
      <c r="D179" s="2" t="s">
        <v>7</v>
      </c>
      <c r="E179" s="3" t="s">
        <v>1358</v>
      </c>
      <c r="G179" s="18"/>
      <c r="H179" t="s">
        <v>1498</v>
      </c>
      <c r="K179" s="7" t="str">
        <f t="shared" si="5"/>
        <v>Pump4</v>
      </c>
      <c r="L179" s="7" t="str">
        <f t="shared" si="6"/>
        <v>FB_stop</v>
      </c>
    </row>
    <row r="180" spans="1:12" x14ac:dyDescent="0.25">
      <c r="A180" s="2">
        <v>8</v>
      </c>
      <c r="B180" s="12" t="s">
        <v>1436</v>
      </c>
      <c r="C180" s="2" t="s">
        <v>21</v>
      </c>
      <c r="D180" s="2" t="s">
        <v>7</v>
      </c>
      <c r="E180" s="3" t="s">
        <v>1393</v>
      </c>
      <c r="G180" s="18"/>
      <c r="H180" t="s">
        <v>1494</v>
      </c>
      <c r="K180" s="7" t="str">
        <f t="shared" si="5"/>
        <v>Pump4</v>
      </c>
      <c r="L180" s="7" t="str">
        <f t="shared" si="6"/>
        <v>FB_maintenance</v>
      </c>
    </row>
    <row r="181" spans="1:12" x14ac:dyDescent="0.25">
      <c r="A181" s="2">
        <v>174</v>
      </c>
      <c r="B181" s="3" t="s">
        <v>354</v>
      </c>
      <c r="C181" s="2" t="s">
        <v>355</v>
      </c>
      <c r="D181" s="2" t="s">
        <v>24</v>
      </c>
      <c r="E181" s="3" t="s">
        <v>1352</v>
      </c>
      <c r="G181" s="18"/>
      <c r="K181" s="7" t="str">
        <f t="shared" si="5"/>
        <v>Pump4</v>
      </c>
      <c r="L181" s="7" t="str">
        <f t="shared" si="6"/>
        <v>FB_Temp_DEBearing</v>
      </c>
    </row>
    <row r="182" spans="1:12" x14ac:dyDescent="0.25">
      <c r="A182" s="2">
        <v>175</v>
      </c>
      <c r="B182" s="3" t="s">
        <v>356</v>
      </c>
      <c r="C182" s="2" t="s">
        <v>357</v>
      </c>
      <c r="D182" s="2" t="s">
        <v>24</v>
      </c>
      <c r="E182" s="3" t="s">
        <v>1353</v>
      </c>
      <c r="G182" s="18"/>
      <c r="K182" s="7" t="str">
        <f t="shared" si="5"/>
        <v>Pump4</v>
      </c>
      <c r="L182" s="7" t="str">
        <f t="shared" si="6"/>
        <v>FB_Temp_NDEBearing</v>
      </c>
    </row>
    <row r="183" spans="1:12" x14ac:dyDescent="0.25">
      <c r="A183" s="2">
        <v>176</v>
      </c>
      <c r="B183" s="3" t="s">
        <v>358</v>
      </c>
      <c r="C183" s="2" t="s">
        <v>359</v>
      </c>
      <c r="D183" s="2" t="s">
        <v>24</v>
      </c>
      <c r="E183" s="3" t="s">
        <v>1308</v>
      </c>
      <c r="G183" s="18"/>
      <c r="K183" s="7" t="str">
        <f t="shared" si="5"/>
        <v>Pump4</v>
      </c>
      <c r="L183" s="7" t="str">
        <f t="shared" si="6"/>
        <v>FB_Temp_PhaseA</v>
      </c>
    </row>
    <row r="184" spans="1:12" x14ac:dyDescent="0.25">
      <c r="A184" s="2">
        <v>177</v>
      </c>
      <c r="B184" s="3" t="s">
        <v>360</v>
      </c>
      <c r="C184" s="2" t="s">
        <v>361</v>
      </c>
      <c r="D184" s="2" t="s">
        <v>24</v>
      </c>
      <c r="E184" s="3" t="s">
        <v>1309</v>
      </c>
      <c r="G184" s="18"/>
      <c r="K184" s="7" t="str">
        <f t="shared" si="5"/>
        <v>Pump4</v>
      </c>
      <c r="L184" s="7" t="str">
        <f t="shared" si="6"/>
        <v>FB_Temp_PhaseB</v>
      </c>
    </row>
    <row r="185" spans="1:12" x14ac:dyDescent="0.25">
      <c r="A185" s="2">
        <v>178</v>
      </c>
      <c r="B185" s="3" t="s">
        <v>362</v>
      </c>
      <c r="C185" s="2" t="s">
        <v>363</v>
      </c>
      <c r="D185" s="2" t="s">
        <v>24</v>
      </c>
      <c r="E185" s="3" t="s">
        <v>1310</v>
      </c>
      <c r="G185" s="18"/>
      <c r="K185" s="7" t="str">
        <f t="shared" si="5"/>
        <v>Pump4</v>
      </c>
      <c r="L185" s="7" t="str">
        <f t="shared" si="6"/>
        <v>FB_Temp_PhaseC</v>
      </c>
    </row>
    <row r="186" spans="1:12" x14ac:dyDescent="0.25">
      <c r="A186" s="2">
        <v>179</v>
      </c>
      <c r="B186" s="3" t="s">
        <v>364</v>
      </c>
      <c r="C186" s="2" t="s">
        <v>365</v>
      </c>
      <c r="D186" s="2" t="s">
        <v>35</v>
      </c>
      <c r="E186" s="3" t="s">
        <v>1315</v>
      </c>
      <c r="G186" s="18"/>
      <c r="K186" s="7" t="str">
        <f t="shared" si="5"/>
        <v>Meter4</v>
      </c>
      <c r="L186" s="7" t="str">
        <f t="shared" si="6"/>
        <v>U1</v>
      </c>
    </row>
    <row r="187" spans="1:12" x14ac:dyDescent="0.25">
      <c r="A187" s="2">
        <v>180</v>
      </c>
      <c r="B187" s="3" t="s">
        <v>366</v>
      </c>
      <c r="C187" s="2" t="s">
        <v>367</v>
      </c>
      <c r="D187" s="2" t="s">
        <v>35</v>
      </c>
      <c r="E187" s="3" t="s">
        <v>1316</v>
      </c>
      <c r="G187" s="18"/>
      <c r="K187" s="7" t="str">
        <f t="shared" si="5"/>
        <v>Meter4</v>
      </c>
      <c r="L187" s="7" t="str">
        <f t="shared" si="6"/>
        <v>U2</v>
      </c>
    </row>
    <row r="188" spans="1:12" x14ac:dyDescent="0.25">
      <c r="A188" s="2">
        <v>181</v>
      </c>
      <c r="B188" s="3" t="s">
        <v>368</v>
      </c>
      <c r="C188" s="2" t="s">
        <v>369</v>
      </c>
      <c r="D188" s="2" t="s">
        <v>35</v>
      </c>
      <c r="E188" s="3" t="s">
        <v>1317</v>
      </c>
      <c r="G188" s="18"/>
      <c r="K188" s="7" t="str">
        <f t="shared" si="5"/>
        <v>Meter4</v>
      </c>
      <c r="L188" s="7" t="str">
        <f t="shared" si="6"/>
        <v>U3</v>
      </c>
    </row>
    <row r="189" spans="1:12" x14ac:dyDescent="0.25">
      <c r="A189" s="2">
        <v>182</v>
      </c>
      <c r="B189" s="3" t="s">
        <v>370</v>
      </c>
      <c r="C189" s="2" t="s">
        <v>371</v>
      </c>
      <c r="D189" s="2" t="s">
        <v>35</v>
      </c>
      <c r="E189" s="3" t="s">
        <v>1318</v>
      </c>
      <c r="G189" s="18"/>
      <c r="K189" s="7" t="str">
        <f t="shared" si="5"/>
        <v>Meter4</v>
      </c>
      <c r="L189" s="7" t="str">
        <f t="shared" si="6"/>
        <v>U_Ph</v>
      </c>
    </row>
    <row r="190" spans="1:12" x14ac:dyDescent="0.25">
      <c r="A190" s="2">
        <v>183</v>
      </c>
      <c r="B190" s="3" t="s">
        <v>372</v>
      </c>
      <c r="C190" s="2" t="s">
        <v>373</v>
      </c>
      <c r="D190" s="2" t="s">
        <v>35</v>
      </c>
      <c r="E190" s="3" t="s">
        <v>1319</v>
      </c>
      <c r="G190" s="18"/>
      <c r="H190" t="s">
        <v>1486</v>
      </c>
      <c r="K190" s="7" t="str">
        <f t="shared" si="5"/>
        <v>Meter4</v>
      </c>
      <c r="L190" s="7" t="str">
        <f t="shared" si="6"/>
        <v>U12</v>
      </c>
    </row>
    <row r="191" spans="1:12" x14ac:dyDescent="0.25">
      <c r="A191" s="2">
        <v>184</v>
      </c>
      <c r="B191" s="3" t="s">
        <v>374</v>
      </c>
      <c r="C191" s="2" t="s">
        <v>375</v>
      </c>
      <c r="D191" s="2" t="s">
        <v>35</v>
      </c>
      <c r="E191" s="3" t="s">
        <v>1320</v>
      </c>
      <c r="G191" s="18"/>
      <c r="H191" t="s">
        <v>1487</v>
      </c>
      <c r="K191" s="7" t="str">
        <f t="shared" si="5"/>
        <v>Meter4</v>
      </c>
      <c r="L191" s="7" t="str">
        <f t="shared" si="6"/>
        <v>U23</v>
      </c>
    </row>
    <row r="192" spans="1:12" x14ac:dyDescent="0.25">
      <c r="A192" s="2">
        <v>185</v>
      </c>
      <c r="B192" s="3" t="s">
        <v>376</v>
      </c>
      <c r="C192" s="2" t="s">
        <v>377</v>
      </c>
      <c r="D192" s="2" t="s">
        <v>35</v>
      </c>
      <c r="E192" s="3" t="s">
        <v>1321</v>
      </c>
      <c r="G192" s="18"/>
      <c r="H192" t="s">
        <v>1488</v>
      </c>
      <c r="K192" s="7" t="str">
        <f t="shared" si="5"/>
        <v>Meter4</v>
      </c>
      <c r="L192" s="7" t="str">
        <f t="shared" si="6"/>
        <v>U31</v>
      </c>
    </row>
    <row r="193" spans="1:12" x14ac:dyDescent="0.25">
      <c r="A193" s="2">
        <v>186</v>
      </c>
      <c r="B193" s="3" t="s">
        <v>378</v>
      </c>
      <c r="C193" s="2" t="s">
        <v>379</v>
      </c>
      <c r="D193" s="2" t="s">
        <v>35</v>
      </c>
      <c r="E193" s="3" t="s">
        <v>1322</v>
      </c>
      <c r="G193" s="18"/>
      <c r="K193" s="7" t="str">
        <f t="shared" si="5"/>
        <v>Meter4</v>
      </c>
      <c r="L193" s="7" t="str">
        <f t="shared" si="6"/>
        <v>Uline</v>
      </c>
    </row>
    <row r="194" spans="1:12" x14ac:dyDescent="0.25">
      <c r="A194" s="2">
        <v>187</v>
      </c>
      <c r="B194" s="3" t="s">
        <v>380</v>
      </c>
      <c r="C194" s="2" t="s">
        <v>381</v>
      </c>
      <c r="D194" s="2" t="s">
        <v>35</v>
      </c>
      <c r="E194" s="3" t="s">
        <v>1312</v>
      </c>
      <c r="G194" s="18"/>
      <c r="H194" s="7" t="s">
        <v>1483</v>
      </c>
      <c r="K194" s="7" t="str">
        <f t="shared" si="5"/>
        <v>Meter4</v>
      </c>
      <c r="L194" s="7" t="str">
        <f t="shared" si="6"/>
        <v>I1</v>
      </c>
    </row>
    <row r="195" spans="1:12" x14ac:dyDescent="0.25">
      <c r="A195" s="2">
        <v>188</v>
      </c>
      <c r="B195" s="3" t="s">
        <v>382</v>
      </c>
      <c r="C195" s="2" t="s">
        <v>383</v>
      </c>
      <c r="D195" s="2" t="s">
        <v>35</v>
      </c>
      <c r="E195" s="3" t="s">
        <v>1313</v>
      </c>
      <c r="G195" s="18"/>
      <c r="H195" s="7" t="s">
        <v>1484</v>
      </c>
      <c r="K195" s="7" t="str">
        <f t="shared" si="5"/>
        <v>Meter4</v>
      </c>
      <c r="L195" s="7" t="str">
        <f t="shared" si="6"/>
        <v>I2</v>
      </c>
    </row>
    <row r="196" spans="1:12" x14ac:dyDescent="0.25">
      <c r="A196" s="2">
        <v>189</v>
      </c>
      <c r="B196" s="3" t="s">
        <v>384</v>
      </c>
      <c r="C196" s="2" t="s">
        <v>385</v>
      </c>
      <c r="D196" s="2" t="s">
        <v>35</v>
      </c>
      <c r="E196" s="3" t="s">
        <v>1314</v>
      </c>
      <c r="G196" s="18"/>
      <c r="H196" s="7" t="s">
        <v>1485</v>
      </c>
      <c r="K196" s="7" t="str">
        <f t="shared" si="5"/>
        <v>Meter4</v>
      </c>
      <c r="L196" s="7" t="str">
        <f t="shared" si="6"/>
        <v>I3</v>
      </c>
    </row>
    <row r="197" spans="1:12" x14ac:dyDescent="0.25">
      <c r="A197" s="2">
        <v>190</v>
      </c>
      <c r="B197" s="3" t="s">
        <v>386</v>
      </c>
      <c r="C197" s="2" t="s">
        <v>387</v>
      </c>
      <c r="D197" s="2" t="s">
        <v>35</v>
      </c>
      <c r="E197" s="3" t="s">
        <v>1311</v>
      </c>
      <c r="G197" s="18"/>
      <c r="H197" s="3" t="s">
        <v>1311</v>
      </c>
      <c r="K197" s="7" t="str">
        <f t="shared" si="5"/>
        <v>Meter4</v>
      </c>
      <c r="L197" s="7" t="str">
        <f t="shared" si="6"/>
        <v>I_ph</v>
      </c>
    </row>
    <row r="198" spans="1:12" x14ac:dyDescent="0.25">
      <c r="A198" s="2">
        <v>191</v>
      </c>
      <c r="B198" s="3" t="s">
        <v>388</v>
      </c>
      <c r="C198" s="2" t="s">
        <v>389</v>
      </c>
      <c r="D198" s="2" t="s">
        <v>35</v>
      </c>
      <c r="E198" s="3" t="s">
        <v>1323</v>
      </c>
      <c r="G198" s="18"/>
      <c r="K198" s="7" t="str">
        <f t="shared" si="5"/>
        <v>Meter4</v>
      </c>
      <c r="L198" s="7" t="str">
        <f t="shared" si="6"/>
        <v>kw1</v>
      </c>
    </row>
    <row r="199" spans="1:12" x14ac:dyDescent="0.25">
      <c r="A199" s="2">
        <v>192</v>
      </c>
      <c r="B199" s="3" t="s">
        <v>390</v>
      </c>
      <c r="C199" s="2" t="s">
        <v>391</v>
      </c>
      <c r="D199" s="2" t="s">
        <v>35</v>
      </c>
      <c r="E199" s="3" t="s">
        <v>1324</v>
      </c>
      <c r="G199" s="18"/>
      <c r="K199" s="7" t="str">
        <f t="shared" si="5"/>
        <v>Meter4</v>
      </c>
      <c r="L199" s="7" t="str">
        <f t="shared" si="6"/>
        <v>kw2</v>
      </c>
    </row>
    <row r="200" spans="1:12" x14ac:dyDescent="0.25">
      <c r="A200" s="2">
        <v>193</v>
      </c>
      <c r="B200" s="3" t="s">
        <v>392</v>
      </c>
      <c r="C200" s="2" t="s">
        <v>393</v>
      </c>
      <c r="D200" s="2" t="s">
        <v>35</v>
      </c>
      <c r="E200" s="3" t="s">
        <v>1325</v>
      </c>
      <c r="G200" s="18"/>
      <c r="K200" s="7" t="str">
        <f t="shared" si="5"/>
        <v>Meter4</v>
      </c>
      <c r="L200" s="7" t="str">
        <f t="shared" si="6"/>
        <v>kw3</v>
      </c>
    </row>
    <row r="201" spans="1:12" x14ac:dyDescent="0.25">
      <c r="A201" s="2">
        <v>194</v>
      </c>
      <c r="B201" s="3" t="s">
        <v>394</v>
      </c>
      <c r="C201" s="2" t="s">
        <v>395</v>
      </c>
      <c r="D201" s="2" t="s">
        <v>35</v>
      </c>
      <c r="E201" s="3" t="s">
        <v>1326</v>
      </c>
      <c r="G201" s="18"/>
      <c r="K201" s="7" t="str">
        <f t="shared" ref="K201:K265" si="7">LEFT(B201, SEARCH("_",B201 ) - 1)</f>
        <v>Meter4</v>
      </c>
      <c r="L201" s="7" t="str">
        <f t="shared" si="6"/>
        <v>kva1</v>
      </c>
    </row>
    <row r="202" spans="1:12" x14ac:dyDescent="0.25">
      <c r="A202" s="2">
        <v>195</v>
      </c>
      <c r="B202" s="3" t="s">
        <v>396</v>
      </c>
      <c r="C202" s="2" t="s">
        <v>397</v>
      </c>
      <c r="D202" s="2" t="s">
        <v>35</v>
      </c>
      <c r="E202" s="3" t="s">
        <v>1327</v>
      </c>
      <c r="G202" s="18"/>
      <c r="K202" s="7" t="str">
        <f t="shared" si="7"/>
        <v>Meter4</v>
      </c>
      <c r="L202" s="7" t="str">
        <f t="shared" si="6"/>
        <v>kva2</v>
      </c>
    </row>
    <row r="203" spans="1:12" x14ac:dyDescent="0.25">
      <c r="A203" s="2">
        <v>196</v>
      </c>
      <c r="B203" s="3" t="s">
        <v>398</v>
      </c>
      <c r="C203" s="2" t="s">
        <v>399</v>
      </c>
      <c r="D203" s="2" t="s">
        <v>35</v>
      </c>
      <c r="E203" s="3" t="s">
        <v>1328</v>
      </c>
      <c r="G203" s="18"/>
      <c r="K203" s="7" t="str">
        <f t="shared" si="7"/>
        <v>Meter4</v>
      </c>
      <c r="L203" s="7" t="str">
        <f t="shared" si="6"/>
        <v>kva3</v>
      </c>
    </row>
    <row r="204" spans="1:12" x14ac:dyDescent="0.25">
      <c r="A204" s="2">
        <v>197</v>
      </c>
      <c r="B204" s="3" t="s">
        <v>400</v>
      </c>
      <c r="C204" s="2" t="s">
        <v>401</v>
      </c>
      <c r="D204" s="2" t="s">
        <v>35</v>
      </c>
      <c r="E204" s="3" t="s">
        <v>1329</v>
      </c>
      <c r="G204" s="18"/>
      <c r="K204" s="7" t="str">
        <f t="shared" si="7"/>
        <v>Meter4</v>
      </c>
      <c r="L204" s="7" t="str">
        <f t="shared" si="6"/>
        <v>kvar1</v>
      </c>
    </row>
    <row r="205" spans="1:12" x14ac:dyDescent="0.25">
      <c r="A205" s="2">
        <v>198</v>
      </c>
      <c r="B205" s="3" t="s">
        <v>402</v>
      </c>
      <c r="C205" s="2" t="s">
        <v>403</v>
      </c>
      <c r="D205" s="2" t="s">
        <v>35</v>
      </c>
      <c r="E205" s="3" t="s">
        <v>1330</v>
      </c>
      <c r="G205" s="18"/>
      <c r="K205" s="7" t="str">
        <f t="shared" si="7"/>
        <v>Meter4</v>
      </c>
      <c r="L205" s="7" t="str">
        <f t="shared" si="6"/>
        <v>kvar2</v>
      </c>
    </row>
    <row r="206" spans="1:12" x14ac:dyDescent="0.25">
      <c r="A206" s="2">
        <v>199</v>
      </c>
      <c r="B206" s="3" t="s">
        <v>404</v>
      </c>
      <c r="C206" s="2" t="s">
        <v>405</v>
      </c>
      <c r="D206" s="2" t="s">
        <v>35</v>
      </c>
      <c r="E206" s="3" t="s">
        <v>1331</v>
      </c>
      <c r="G206" s="18"/>
      <c r="K206" s="7" t="str">
        <f t="shared" si="7"/>
        <v>Meter4</v>
      </c>
      <c r="L206" s="7" t="str">
        <f t="shared" ref="L206:L270" si="8">RIGHT(B206, LEN(B206)-SEARCH("_",B206 ))</f>
        <v>kvar3</v>
      </c>
    </row>
    <row r="207" spans="1:12" x14ac:dyDescent="0.25">
      <c r="A207" s="2">
        <v>200</v>
      </c>
      <c r="B207" s="3" t="s">
        <v>406</v>
      </c>
      <c r="C207" s="2" t="s">
        <v>407</v>
      </c>
      <c r="D207" s="2" t="s">
        <v>35</v>
      </c>
      <c r="E207" s="3" t="s">
        <v>1332</v>
      </c>
      <c r="G207" s="18"/>
      <c r="K207" s="7" t="str">
        <f t="shared" si="7"/>
        <v>Meter4</v>
      </c>
      <c r="L207" s="7" t="str">
        <f t="shared" si="8"/>
        <v>total_kw</v>
      </c>
    </row>
    <row r="208" spans="1:12" x14ac:dyDescent="0.25">
      <c r="A208" s="2">
        <v>201</v>
      </c>
      <c r="B208" s="3" t="s">
        <v>408</v>
      </c>
      <c r="C208" s="2" t="s">
        <v>409</v>
      </c>
      <c r="D208" s="2" t="s">
        <v>35</v>
      </c>
      <c r="E208" s="3" t="s">
        <v>1333</v>
      </c>
      <c r="G208" s="18"/>
      <c r="K208" s="7" t="str">
        <f t="shared" si="7"/>
        <v>Meter4</v>
      </c>
      <c r="L208" s="7" t="str">
        <f t="shared" si="8"/>
        <v>total_kva</v>
      </c>
    </row>
    <row r="209" spans="1:12" x14ac:dyDescent="0.25">
      <c r="A209" s="2">
        <v>202</v>
      </c>
      <c r="B209" s="3" t="s">
        <v>410</v>
      </c>
      <c r="C209" s="2" t="s">
        <v>411</v>
      </c>
      <c r="D209" s="2" t="s">
        <v>35</v>
      </c>
      <c r="E209" s="3" t="s">
        <v>1334</v>
      </c>
      <c r="G209" s="18"/>
      <c r="K209" s="7" t="str">
        <f t="shared" si="7"/>
        <v>Meter4</v>
      </c>
      <c r="L209" s="7" t="str">
        <f t="shared" si="8"/>
        <v>total_kvar</v>
      </c>
    </row>
    <row r="210" spans="1:12" x14ac:dyDescent="0.25">
      <c r="A210" s="2">
        <v>203</v>
      </c>
      <c r="B210" s="3" t="s">
        <v>412</v>
      </c>
      <c r="C210" s="2" t="s">
        <v>413</v>
      </c>
      <c r="D210" s="2" t="s">
        <v>35</v>
      </c>
      <c r="E210" s="3" t="s">
        <v>1335</v>
      </c>
      <c r="G210" s="18"/>
      <c r="K210" s="7" t="str">
        <f t="shared" si="7"/>
        <v>Meter4</v>
      </c>
      <c r="L210" s="7" t="str">
        <f t="shared" si="8"/>
        <v>PF1</v>
      </c>
    </row>
    <row r="211" spans="1:12" x14ac:dyDescent="0.25">
      <c r="A211" s="2">
        <v>204</v>
      </c>
      <c r="B211" s="3" t="s">
        <v>414</v>
      </c>
      <c r="C211" s="2" t="s">
        <v>415</v>
      </c>
      <c r="D211" s="2" t="s">
        <v>35</v>
      </c>
      <c r="E211" s="3" t="s">
        <v>1336</v>
      </c>
      <c r="G211" s="18"/>
      <c r="K211" s="7" t="str">
        <f t="shared" si="7"/>
        <v>Meter4</v>
      </c>
      <c r="L211" s="7" t="str">
        <f t="shared" si="8"/>
        <v>PF2</v>
      </c>
    </row>
    <row r="212" spans="1:12" x14ac:dyDescent="0.25">
      <c r="A212" s="2">
        <v>205</v>
      </c>
      <c r="B212" s="3" t="s">
        <v>416</v>
      </c>
      <c r="C212" s="2" t="s">
        <v>417</v>
      </c>
      <c r="D212" s="2" t="s">
        <v>35</v>
      </c>
      <c r="E212" s="3" t="s">
        <v>1337</v>
      </c>
      <c r="G212" s="18"/>
      <c r="K212" s="7" t="str">
        <f t="shared" si="7"/>
        <v>Meter4</v>
      </c>
      <c r="L212" s="7" t="str">
        <f t="shared" si="8"/>
        <v>PF3</v>
      </c>
    </row>
    <row r="213" spans="1:12" x14ac:dyDescent="0.25">
      <c r="A213" s="2">
        <v>206</v>
      </c>
      <c r="B213" s="3" t="s">
        <v>418</v>
      </c>
      <c r="C213" s="2" t="s">
        <v>419</v>
      </c>
      <c r="D213" s="2" t="s">
        <v>35</v>
      </c>
      <c r="E213" s="3" t="s">
        <v>1338</v>
      </c>
      <c r="G213" s="18"/>
      <c r="K213" s="7" t="str">
        <f t="shared" si="7"/>
        <v>Meter4</v>
      </c>
      <c r="L213" s="7" t="str">
        <f t="shared" si="8"/>
        <v>PF</v>
      </c>
    </row>
    <row r="214" spans="1:12" x14ac:dyDescent="0.25">
      <c r="A214" s="2">
        <v>207</v>
      </c>
      <c r="B214" s="3" t="s">
        <v>420</v>
      </c>
      <c r="C214" s="2" t="s">
        <v>421</v>
      </c>
      <c r="D214" s="2" t="s">
        <v>35</v>
      </c>
      <c r="E214" s="3" t="s">
        <v>1339</v>
      </c>
      <c r="G214" s="18"/>
      <c r="K214" s="7" t="str">
        <f t="shared" si="7"/>
        <v>Meter4</v>
      </c>
      <c r="L214" s="7" t="str">
        <f t="shared" si="8"/>
        <v>freq</v>
      </c>
    </row>
    <row r="215" spans="1:12" x14ac:dyDescent="0.25">
      <c r="A215" s="2">
        <v>208</v>
      </c>
      <c r="B215" s="3" t="s">
        <v>422</v>
      </c>
      <c r="C215" s="2" t="s">
        <v>423</v>
      </c>
      <c r="D215" s="2" t="s">
        <v>35</v>
      </c>
      <c r="E215" s="3" t="s">
        <v>1340</v>
      </c>
      <c r="G215" s="18"/>
      <c r="K215" s="7" t="str">
        <f t="shared" si="7"/>
        <v>Meter4</v>
      </c>
      <c r="L215" s="7" t="str">
        <f t="shared" si="8"/>
        <v>kwh</v>
      </c>
    </row>
    <row r="216" spans="1:12" x14ac:dyDescent="0.25">
      <c r="A216" s="2">
        <v>209</v>
      </c>
      <c r="B216" s="3" t="s">
        <v>424</v>
      </c>
      <c r="C216" s="2" t="s">
        <v>425</v>
      </c>
      <c r="D216" s="2" t="s">
        <v>35</v>
      </c>
      <c r="E216" s="3" t="s">
        <v>1341</v>
      </c>
      <c r="G216" s="18"/>
      <c r="K216" s="7" t="str">
        <f t="shared" si="7"/>
        <v>Meter4</v>
      </c>
      <c r="L216" s="7" t="str">
        <f t="shared" si="8"/>
        <v>kvah</v>
      </c>
    </row>
    <row r="217" spans="1:12" x14ac:dyDescent="0.25">
      <c r="A217" s="2">
        <v>210</v>
      </c>
      <c r="B217" s="3" t="s">
        <v>426</v>
      </c>
      <c r="C217" s="2" t="s">
        <v>427</v>
      </c>
      <c r="D217" s="2" t="s">
        <v>35</v>
      </c>
      <c r="E217" s="3" t="s">
        <v>1342</v>
      </c>
      <c r="G217" s="18"/>
      <c r="K217" s="7" t="str">
        <f t="shared" si="7"/>
        <v>Meter4</v>
      </c>
      <c r="L217" s="7" t="str">
        <f t="shared" si="8"/>
        <v>kvarh</v>
      </c>
    </row>
    <row r="218" spans="1:12" x14ac:dyDescent="0.25">
      <c r="A218" s="2">
        <v>211</v>
      </c>
      <c r="B218" s="3" t="s">
        <v>428</v>
      </c>
      <c r="C218" s="2" t="s">
        <v>429</v>
      </c>
      <c r="D218" s="2" t="s">
        <v>7</v>
      </c>
      <c r="E218" s="3" t="s">
        <v>1343</v>
      </c>
      <c r="G218" s="18"/>
      <c r="K218" s="7" t="str">
        <f t="shared" si="7"/>
        <v>Pump4</v>
      </c>
      <c r="L218" s="7" t="str">
        <f t="shared" si="8"/>
        <v>Ctrl_run_Pump</v>
      </c>
    </row>
    <row r="219" spans="1:12" x14ac:dyDescent="0.25">
      <c r="A219" s="2">
        <v>212</v>
      </c>
      <c r="B219" s="3" t="s">
        <v>430</v>
      </c>
      <c r="C219" s="2" t="s">
        <v>431</v>
      </c>
      <c r="D219" s="2" t="s">
        <v>7</v>
      </c>
      <c r="E219" s="3" t="s">
        <v>1354</v>
      </c>
      <c r="G219" s="18"/>
      <c r="H219" t="s">
        <v>1496</v>
      </c>
      <c r="K219" s="7" t="str">
        <f t="shared" si="7"/>
        <v>Pump4</v>
      </c>
      <c r="L219" s="7" t="str">
        <f t="shared" si="8"/>
        <v>FB_Fault</v>
      </c>
    </row>
    <row r="220" spans="1:12" x14ac:dyDescent="0.25">
      <c r="A220" s="2">
        <v>213</v>
      </c>
      <c r="B220" s="3" t="s">
        <v>432</v>
      </c>
      <c r="C220" s="2" t="s">
        <v>433</v>
      </c>
      <c r="D220" s="2" t="s">
        <v>7</v>
      </c>
      <c r="E220" s="3" t="s">
        <v>1344</v>
      </c>
      <c r="G220" s="18"/>
      <c r="K220" s="7" t="str">
        <f t="shared" si="7"/>
        <v>Pump4</v>
      </c>
      <c r="L220" s="7" t="str">
        <f t="shared" si="8"/>
        <v>Ctrl_PB_Run</v>
      </c>
    </row>
    <row r="221" spans="1:12" x14ac:dyDescent="0.25">
      <c r="A221" s="2">
        <v>214</v>
      </c>
      <c r="B221" s="3" t="s">
        <v>434</v>
      </c>
      <c r="C221" s="2" t="s">
        <v>435</v>
      </c>
      <c r="D221" s="2" t="s">
        <v>7</v>
      </c>
      <c r="E221" s="3" t="s">
        <v>1345</v>
      </c>
      <c r="G221" s="18"/>
      <c r="K221" s="7" t="str">
        <f t="shared" si="7"/>
        <v>Pump4</v>
      </c>
      <c r="L221" s="7" t="str">
        <f t="shared" si="8"/>
        <v>Ctrl_PB_Stop</v>
      </c>
    </row>
    <row r="222" spans="1:12" x14ac:dyDescent="0.25">
      <c r="A222" s="2">
        <v>215</v>
      </c>
      <c r="B222" s="3" t="s">
        <v>436</v>
      </c>
      <c r="C222" s="2" t="s">
        <v>437</v>
      </c>
      <c r="D222" s="2" t="s">
        <v>7</v>
      </c>
      <c r="E222" s="3" t="s">
        <v>1346</v>
      </c>
      <c r="G222" s="18"/>
      <c r="K222" s="7" t="str">
        <f t="shared" si="7"/>
        <v>Pump4</v>
      </c>
      <c r="L222" s="7" t="str">
        <f t="shared" si="8"/>
        <v>Ctrl_PB_RST</v>
      </c>
    </row>
    <row r="223" spans="1:12" x14ac:dyDescent="0.25">
      <c r="A223" s="2">
        <v>216</v>
      </c>
      <c r="B223" s="3" t="s">
        <v>438</v>
      </c>
      <c r="C223" s="2" t="s">
        <v>439</v>
      </c>
      <c r="D223" s="2" t="s">
        <v>24</v>
      </c>
      <c r="E223" s="3" t="s">
        <v>1347</v>
      </c>
      <c r="G223" s="18"/>
      <c r="K223" s="7" t="str">
        <f t="shared" si="7"/>
        <v>Pump4</v>
      </c>
      <c r="L223" s="7" t="str">
        <f t="shared" si="8"/>
        <v>Time_Run_M</v>
      </c>
    </row>
    <row r="224" spans="1:12" x14ac:dyDescent="0.25">
      <c r="A224" s="2">
        <v>217</v>
      </c>
      <c r="B224" s="3" t="s">
        <v>440</v>
      </c>
      <c r="C224" s="2" t="s">
        <v>441</v>
      </c>
      <c r="D224" s="2" t="s">
        <v>24</v>
      </c>
      <c r="E224" s="3" t="s">
        <v>1348</v>
      </c>
      <c r="G224" s="18"/>
      <c r="K224" s="7" t="str">
        <f t="shared" si="7"/>
        <v>Pump4</v>
      </c>
      <c r="L224" s="7" t="str">
        <f t="shared" si="8"/>
        <v>Time_Run_H</v>
      </c>
    </row>
    <row r="225" spans="1:12" x14ac:dyDescent="0.25">
      <c r="A225" s="2">
        <v>218</v>
      </c>
      <c r="B225" s="3" t="s">
        <v>442</v>
      </c>
      <c r="C225" s="2" t="s">
        <v>443</v>
      </c>
      <c r="D225" s="2" t="s">
        <v>24</v>
      </c>
      <c r="E225" s="3" t="s">
        <v>1349</v>
      </c>
      <c r="G225" s="18"/>
      <c r="K225" s="7" t="str">
        <f t="shared" si="7"/>
        <v>Pump4</v>
      </c>
      <c r="L225" s="7" t="str">
        <f t="shared" si="8"/>
        <v>Total_Time_Run_M</v>
      </c>
    </row>
    <row r="226" spans="1:12" x14ac:dyDescent="0.25">
      <c r="A226" s="2">
        <v>219</v>
      </c>
      <c r="B226" s="3" t="s">
        <v>444</v>
      </c>
      <c r="C226" s="2" t="s">
        <v>445</v>
      </c>
      <c r="D226" s="2" t="s">
        <v>24</v>
      </c>
      <c r="E226" s="3" t="s">
        <v>1350</v>
      </c>
      <c r="G226" s="18"/>
      <c r="H226" t="s">
        <v>1407</v>
      </c>
      <c r="K226" s="7" t="str">
        <f t="shared" si="7"/>
        <v>Pump4</v>
      </c>
      <c r="L226" s="7" t="str">
        <f t="shared" si="8"/>
        <v>Total_Time_Run_H</v>
      </c>
    </row>
    <row r="227" spans="1:12" x14ac:dyDescent="0.25">
      <c r="A227" s="2">
        <v>220</v>
      </c>
      <c r="B227" s="3" t="s">
        <v>446</v>
      </c>
      <c r="C227" s="2" t="s">
        <v>447</v>
      </c>
      <c r="D227" s="2" t="s">
        <v>24</v>
      </c>
      <c r="E227" s="3" t="s">
        <v>1351</v>
      </c>
      <c r="G227" s="18"/>
      <c r="K227" s="7" t="str">
        <f t="shared" si="7"/>
        <v>Pump4</v>
      </c>
      <c r="L227" s="7" t="str">
        <f t="shared" si="8"/>
        <v>NumberOfclose</v>
      </c>
    </row>
    <row r="228" spans="1:12" x14ac:dyDescent="0.25">
      <c r="A228" s="2">
        <v>221</v>
      </c>
      <c r="B228" s="3" t="s">
        <v>448</v>
      </c>
      <c r="C228" s="2" t="s">
        <v>449</v>
      </c>
      <c r="D228" s="2" t="s">
        <v>7</v>
      </c>
      <c r="E228" s="3" t="s">
        <v>1355</v>
      </c>
      <c r="G228" s="18" t="s">
        <v>1493</v>
      </c>
      <c r="K228" s="7" t="str">
        <f t="shared" si="7"/>
        <v>Pump5</v>
      </c>
      <c r="L228" s="7" t="str">
        <f t="shared" si="8"/>
        <v>FB_auto</v>
      </c>
    </row>
    <row r="229" spans="1:12" x14ac:dyDescent="0.25">
      <c r="A229" s="2">
        <v>222</v>
      </c>
      <c r="B229" s="3" t="s">
        <v>450</v>
      </c>
      <c r="C229" s="2" t="s">
        <v>451</v>
      </c>
      <c r="D229" s="2" t="s">
        <v>7</v>
      </c>
      <c r="E229" s="3" t="s">
        <v>1306</v>
      </c>
      <c r="G229" s="18"/>
      <c r="H229" t="s">
        <v>1497</v>
      </c>
      <c r="K229" s="7" t="str">
        <f t="shared" si="7"/>
        <v>Pump5</v>
      </c>
      <c r="L229" s="7" t="str">
        <f t="shared" si="8"/>
        <v>FB_Run</v>
      </c>
    </row>
    <row r="230" spans="1:12" x14ac:dyDescent="0.25">
      <c r="A230" s="2">
        <v>223</v>
      </c>
      <c r="B230" s="3" t="s">
        <v>452</v>
      </c>
      <c r="C230" s="2" t="s">
        <v>453</v>
      </c>
      <c r="D230" s="2" t="s">
        <v>7</v>
      </c>
      <c r="E230" s="3" t="s">
        <v>1307</v>
      </c>
      <c r="G230" s="18"/>
      <c r="K230" s="7" t="str">
        <f t="shared" si="7"/>
        <v>Pump5</v>
      </c>
      <c r="L230" s="7" t="str">
        <f t="shared" si="8"/>
        <v>FB_Fault_V</v>
      </c>
    </row>
    <row r="231" spans="1:12" x14ac:dyDescent="0.25">
      <c r="A231" s="2">
        <v>224</v>
      </c>
      <c r="B231" s="3" t="s">
        <v>454</v>
      </c>
      <c r="C231" s="2" t="s">
        <v>455</v>
      </c>
      <c r="D231" s="2" t="s">
        <v>7</v>
      </c>
      <c r="E231" s="3" t="s">
        <v>1307</v>
      </c>
      <c r="G231" s="18"/>
      <c r="H231" t="s">
        <v>1499</v>
      </c>
      <c r="K231" s="7" t="str">
        <f t="shared" si="7"/>
        <v>Pump5</v>
      </c>
      <c r="L231" s="7" t="str">
        <f t="shared" si="8"/>
        <v>FB_Fault_SS</v>
      </c>
    </row>
    <row r="232" spans="1:12" x14ac:dyDescent="0.25">
      <c r="A232" s="2">
        <v>225</v>
      </c>
      <c r="B232" s="3" t="s">
        <v>456</v>
      </c>
      <c r="C232" s="2" t="s">
        <v>457</v>
      </c>
      <c r="D232" s="2" t="s">
        <v>7</v>
      </c>
      <c r="E232" s="3" t="s">
        <v>1356</v>
      </c>
      <c r="G232" s="18"/>
      <c r="K232" s="7" t="str">
        <f t="shared" si="7"/>
        <v>Pump5</v>
      </c>
      <c r="L232" s="7" t="str">
        <f t="shared" si="8"/>
        <v>FB_Fault_Temp</v>
      </c>
    </row>
    <row r="233" spans="1:12" x14ac:dyDescent="0.25">
      <c r="A233" s="2">
        <v>226</v>
      </c>
      <c r="B233" s="3" t="s">
        <v>458</v>
      </c>
      <c r="C233" s="2" t="s">
        <v>459</v>
      </c>
      <c r="D233" s="2" t="s">
        <v>7</v>
      </c>
      <c r="E233" s="3" t="s">
        <v>1307</v>
      </c>
      <c r="G233" s="18"/>
      <c r="K233" s="7" t="str">
        <f t="shared" si="7"/>
        <v>Pump5</v>
      </c>
      <c r="L233" s="7" t="str">
        <f t="shared" si="8"/>
        <v>FB_Fault_Curent</v>
      </c>
    </row>
    <row r="234" spans="1:12" x14ac:dyDescent="0.25">
      <c r="A234" s="2">
        <v>227</v>
      </c>
      <c r="B234" s="3" t="s">
        <v>460</v>
      </c>
      <c r="C234" s="2" t="s">
        <v>461</v>
      </c>
      <c r="D234" s="2" t="s">
        <v>7</v>
      </c>
      <c r="E234" s="3" t="s">
        <v>1357</v>
      </c>
      <c r="G234" s="18"/>
      <c r="K234" s="7" t="str">
        <f t="shared" si="7"/>
        <v>Pump5</v>
      </c>
      <c r="L234" s="7" t="str">
        <f t="shared" si="8"/>
        <v>Clock_1m</v>
      </c>
    </row>
    <row r="235" spans="1:12" x14ac:dyDescent="0.25">
      <c r="A235" s="2">
        <v>228</v>
      </c>
      <c r="B235" s="3" t="s">
        <v>462</v>
      </c>
      <c r="C235" s="2" t="s">
        <v>463</v>
      </c>
      <c r="D235" s="2" t="s">
        <v>7</v>
      </c>
      <c r="E235" s="3" t="s">
        <v>1358</v>
      </c>
      <c r="G235" s="18"/>
      <c r="H235" t="s">
        <v>1498</v>
      </c>
      <c r="K235" s="7" t="str">
        <f t="shared" si="7"/>
        <v>Pump5</v>
      </c>
      <c r="L235" s="7" t="str">
        <f t="shared" si="8"/>
        <v>FB_stop</v>
      </c>
    </row>
    <row r="236" spans="1:12" x14ac:dyDescent="0.25">
      <c r="A236" s="2">
        <v>8</v>
      </c>
      <c r="B236" s="12" t="s">
        <v>1437</v>
      </c>
      <c r="C236" s="2" t="s">
        <v>21</v>
      </c>
      <c r="D236" s="2" t="s">
        <v>7</v>
      </c>
      <c r="E236" s="3" t="s">
        <v>1393</v>
      </c>
      <c r="G236" s="18"/>
      <c r="H236" t="s">
        <v>1494</v>
      </c>
      <c r="K236" s="7" t="str">
        <f t="shared" si="7"/>
        <v>Pump5</v>
      </c>
      <c r="L236" s="7" t="str">
        <f t="shared" si="8"/>
        <v>FB_maintenance</v>
      </c>
    </row>
    <row r="237" spans="1:12" x14ac:dyDescent="0.25">
      <c r="A237" s="2">
        <v>229</v>
      </c>
      <c r="B237" s="3" t="s">
        <v>464</v>
      </c>
      <c r="C237" s="2" t="s">
        <v>465</v>
      </c>
      <c r="D237" s="2" t="s">
        <v>24</v>
      </c>
      <c r="E237" s="3" t="s">
        <v>1352</v>
      </c>
      <c r="G237" s="18"/>
      <c r="K237" s="7" t="str">
        <f t="shared" si="7"/>
        <v>Pump5</v>
      </c>
      <c r="L237" s="7" t="str">
        <f t="shared" si="8"/>
        <v>FB_Temp_DEBearing</v>
      </c>
    </row>
    <row r="238" spans="1:12" x14ac:dyDescent="0.25">
      <c r="A238" s="2">
        <v>230</v>
      </c>
      <c r="B238" s="3" t="s">
        <v>466</v>
      </c>
      <c r="C238" s="2" t="s">
        <v>467</v>
      </c>
      <c r="D238" s="2" t="s">
        <v>24</v>
      </c>
      <c r="E238" s="3" t="s">
        <v>1353</v>
      </c>
      <c r="G238" s="18"/>
      <c r="K238" s="7" t="str">
        <f t="shared" si="7"/>
        <v>Pump5</v>
      </c>
      <c r="L238" s="7" t="str">
        <f t="shared" si="8"/>
        <v>FB_Temp_NDEBearing</v>
      </c>
    </row>
    <row r="239" spans="1:12" x14ac:dyDescent="0.25">
      <c r="A239" s="2">
        <v>231</v>
      </c>
      <c r="B239" s="3" t="s">
        <v>468</v>
      </c>
      <c r="C239" s="2" t="s">
        <v>469</v>
      </c>
      <c r="D239" s="2" t="s">
        <v>24</v>
      </c>
      <c r="E239" s="3" t="s">
        <v>1308</v>
      </c>
      <c r="G239" s="18"/>
      <c r="K239" s="7" t="str">
        <f t="shared" si="7"/>
        <v>Pump5</v>
      </c>
      <c r="L239" s="7" t="str">
        <f t="shared" si="8"/>
        <v>FB_Temp_PhaseA</v>
      </c>
    </row>
    <row r="240" spans="1:12" x14ac:dyDescent="0.25">
      <c r="A240" s="2">
        <v>232</v>
      </c>
      <c r="B240" s="3" t="s">
        <v>470</v>
      </c>
      <c r="C240" s="2" t="s">
        <v>471</v>
      </c>
      <c r="D240" s="2" t="s">
        <v>24</v>
      </c>
      <c r="E240" s="3" t="s">
        <v>1309</v>
      </c>
      <c r="G240" s="18"/>
      <c r="K240" s="7" t="str">
        <f t="shared" si="7"/>
        <v>Pump5</v>
      </c>
      <c r="L240" s="7" t="str">
        <f t="shared" si="8"/>
        <v>FB_Temp_PhaseB</v>
      </c>
    </row>
    <row r="241" spans="1:12" x14ac:dyDescent="0.25">
      <c r="A241" s="2">
        <v>233</v>
      </c>
      <c r="B241" s="3" t="s">
        <v>472</v>
      </c>
      <c r="C241" s="2" t="s">
        <v>473</v>
      </c>
      <c r="D241" s="2" t="s">
        <v>24</v>
      </c>
      <c r="E241" s="3" t="s">
        <v>1310</v>
      </c>
      <c r="G241" s="18"/>
      <c r="K241" s="7" t="str">
        <f t="shared" si="7"/>
        <v>Pump5</v>
      </c>
      <c r="L241" s="7" t="str">
        <f t="shared" si="8"/>
        <v>FB_Temp_PhaseC</v>
      </c>
    </row>
    <row r="242" spans="1:12" x14ac:dyDescent="0.25">
      <c r="A242" s="2">
        <v>234</v>
      </c>
      <c r="B242" s="3" t="s">
        <v>474</v>
      </c>
      <c r="C242" s="2" t="s">
        <v>475</v>
      </c>
      <c r="D242" s="2" t="s">
        <v>35</v>
      </c>
      <c r="E242" s="3" t="s">
        <v>1315</v>
      </c>
      <c r="G242" s="18"/>
      <c r="K242" s="7" t="str">
        <f t="shared" si="7"/>
        <v>Meter5</v>
      </c>
      <c r="L242" s="7" t="str">
        <f t="shared" si="8"/>
        <v>U1</v>
      </c>
    </row>
    <row r="243" spans="1:12" x14ac:dyDescent="0.25">
      <c r="A243" s="2">
        <v>235</v>
      </c>
      <c r="B243" s="3" t="s">
        <v>476</v>
      </c>
      <c r="C243" s="2" t="s">
        <v>477</v>
      </c>
      <c r="D243" s="2" t="s">
        <v>35</v>
      </c>
      <c r="E243" s="3" t="s">
        <v>1316</v>
      </c>
      <c r="G243" s="18"/>
      <c r="K243" s="7" t="str">
        <f t="shared" si="7"/>
        <v>Meter5</v>
      </c>
      <c r="L243" s="7" t="str">
        <f t="shared" si="8"/>
        <v>U2</v>
      </c>
    </row>
    <row r="244" spans="1:12" x14ac:dyDescent="0.25">
      <c r="A244" s="2">
        <v>236</v>
      </c>
      <c r="B244" s="3" t="s">
        <v>478</v>
      </c>
      <c r="C244" s="2" t="s">
        <v>479</v>
      </c>
      <c r="D244" s="2" t="s">
        <v>35</v>
      </c>
      <c r="E244" s="3" t="s">
        <v>1317</v>
      </c>
      <c r="G244" s="18"/>
      <c r="K244" s="7" t="str">
        <f t="shared" si="7"/>
        <v>Meter5</v>
      </c>
      <c r="L244" s="7" t="str">
        <f t="shared" si="8"/>
        <v>U3</v>
      </c>
    </row>
    <row r="245" spans="1:12" x14ac:dyDescent="0.25">
      <c r="A245" s="2">
        <v>237</v>
      </c>
      <c r="B245" s="3" t="s">
        <v>480</v>
      </c>
      <c r="C245" s="2" t="s">
        <v>481</v>
      </c>
      <c r="D245" s="2" t="s">
        <v>35</v>
      </c>
      <c r="E245" s="3" t="s">
        <v>1318</v>
      </c>
      <c r="G245" s="18"/>
      <c r="K245" s="7" t="str">
        <f t="shared" si="7"/>
        <v>Meter5</v>
      </c>
      <c r="L245" s="7" t="str">
        <f t="shared" si="8"/>
        <v>U_Ph</v>
      </c>
    </row>
    <row r="246" spans="1:12" x14ac:dyDescent="0.25">
      <c r="A246" s="2">
        <v>238</v>
      </c>
      <c r="B246" s="3" t="s">
        <v>482</v>
      </c>
      <c r="C246" s="2" t="s">
        <v>483</v>
      </c>
      <c r="D246" s="2" t="s">
        <v>35</v>
      </c>
      <c r="E246" s="3" t="s">
        <v>1319</v>
      </c>
      <c r="G246" s="18"/>
      <c r="H246" t="s">
        <v>1486</v>
      </c>
      <c r="K246" s="7" t="str">
        <f t="shared" si="7"/>
        <v>Meter5</v>
      </c>
      <c r="L246" s="7" t="str">
        <f t="shared" si="8"/>
        <v>U12</v>
      </c>
    </row>
    <row r="247" spans="1:12" x14ac:dyDescent="0.25">
      <c r="A247" s="2">
        <v>239</v>
      </c>
      <c r="B247" s="3" t="s">
        <v>484</v>
      </c>
      <c r="C247" s="2" t="s">
        <v>485</v>
      </c>
      <c r="D247" s="2" t="s">
        <v>35</v>
      </c>
      <c r="E247" s="3" t="s">
        <v>1320</v>
      </c>
      <c r="G247" s="18"/>
      <c r="H247" t="s">
        <v>1487</v>
      </c>
      <c r="K247" s="7" t="str">
        <f t="shared" si="7"/>
        <v>Meter5</v>
      </c>
      <c r="L247" s="7" t="str">
        <f t="shared" si="8"/>
        <v>U23</v>
      </c>
    </row>
    <row r="248" spans="1:12" x14ac:dyDescent="0.25">
      <c r="A248" s="2">
        <v>240</v>
      </c>
      <c r="B248" s="3" t="s">
        <v>486</v>
      </c>
      <c r="C248" s="2" t="s">
        <v>487</v>
      </c>
      <c r="D248" s="2" t="s">
        <v>35</v>
      </c>
      <c r="E248" s="3" t="s">
        <v>1321</v>
      </c>
      <c r="G248" s="18"/>
      <c r="H248" t="s">
        <v>1488</v>
      </c>
      <c r="K248" s="7" t="str">
        <f t="shared" si="7"/>
        <v>Meter5</v>
      </c>
      <c r="L248" s="7" t="str">
        <f t="shared" si="8"/>
        <v>U31</v>
      </c>
    </row>
    <row r="249" spans="1:12" x14ac:dyDescent="0.25">
      <c r="A249" s="2">
        <v>241</v>
      </c>
      <c r="B249" s="3" t="s">
        <v>488</v>
      </c>
      <c r="C249" s="2" t="s">
        <v>489</v>
      </c>
      <c r="D249" s="2" t="s">
        <v>35</v>
      </c>
      <c r="E249" s="3" t="s">
        <v>1322</v>
      </c>
      <c r="G249" s="18"/>
      <c r="K249" s="7" t="str">
        <f t="shared" si="7"/>
        <v>Meter5</v>
      </c>
      <c r="L249" s="7" t="str">
        <f t="shared" si="8"/>
        <v>Uline</v>
      </c>
    </row>
    <row r="250" spans="1:12" x14ac:dyDescent="0.25">
      <c r="A250" s="2">
        <v>242</v>
      </c>
      <c r="B250" s="3" t="s">
        <v>490</v>
      </c>
      <c r="C250" s="2" t="s">
        <v>491</v>
      </c>
      <c r="D250" s="2" t="s">
        <v>35</v>
      </c>
      <c r="E250" s="3" t="s">
        <v>1312</v>
      </c>
      <c r="G250" s="18"/>
      <c r="H250" s="7" t="s">
        <v>1483</v>
      </c>
      <c r="K250" s="7" t="str">
        <f t="shared" si="7"/>
        <v>Meter5</v>
      </c>
      <c r="L250" s="7" t="str">
        <f t="shared" si="8"/>
        <v>I1</v>
      </c>
    </row>
    <row r="251" spans="1:12" x14ac:dyDescent="0.25">
      <c r="A251" s="2">
        <v>243</v>
      </c>
      <c r="B251" s="3" t="s">
        <v>492</v>
      </c>
      <c r="C251" s="2" t="s">
        <v>493</v>
      </c>
      <c r="D251" s="2" t="s">
        <v>35</v>
      </c>
      <c r="E251" s="3" t="s">
        <v>1313</v>
      </c>
      <c r="G251" s="18"/>
      <c r="H251" s="7" t="s">
        <v>1484</v>
      </c>
      <c r="K251" s="7" t="str">
        <f t="shared" si="7"/>
        <v>Meter5</v>
      </c>
      <c r="L251" s="7" t="str">
        <f t="shared" si="8"/>
        <v>I2</v>
      </c>
    </row>
    <row r="252" spans="1:12" x14ac:dyDescent="0.25">
      <c r="A252" s="2">
        <v>244</v>
      </c>
      <c r="B252" s="3" t="s">
        <v>494</v>
      </c>
      <c r="C252" s="2" t="s">
        <v>495</v>
      </c>
      <c r="D252" s="2" t="s">
        <v>35</v>
      </c>
      <c r="E252" s="3" t="s">
        <v>1314</v>
      </c>
      <c r="G252" s="18"/>
      <c r="H252" s="7" t="s">
        <v>1485</v>
      </c>
      <c r="K252" s="7" t="str">
        <f t="shared" si="7"/>
        <v>Meter5</v>
      </c>
      <c r="L252" s="7" t="str">
        <f t="shared" si="8"/>
        <v>I3</v>
      </c>
    </row>
    <row r="253" spans="1:12" x14ac:dyDescent="0.25">
      <c r="A253" s="2">
        <v>245</v>
      </c>
      <c r="B253" s="3" t="s">
        <v>496</v>
      </c>
      <c r="C253" s="2" t="s">
        <v>497</v>
      </c>
      <c r="D253" s="2" t="s">
        <v>35</v>
      </c>
      <c r="E253" s="3" t="s">
        <v>1311</v>
      </c>
      <c r="G253" s="18"/>
      <c r="H253" s="3" t="s">
        <v>1311</v>
      </c>
      <c r="K253" s="7" t="str">
        <f t="shared" si="7"/>
        <v>Meter5</v>
      </c>
      <c r="L253" s="7" t="str">
        <f t="shared" si="8"/>
        <v>I_ph</v>
      </c>
    </row>
    <row r="254" spans="1:12" x14ac:dyDescent="0.25">
      <c r="A254" s="2">
        <v>246</v>
      </c>
      <c r="B254" s="3" t="s">
        <v>498</v>
      </c>
      <c r="C254" s="2" t="s">
        <v>499</v>
      </c>
      <c r="D254" s="2" t="s">
        <v>35</v>
      </c>
      <c r="E254" s="3" t="s">
        <v>1323</v>
      </c>
      <c r="G254" s="18"/>
      <c r="K254" s="7" t="str">
        <f t="shared" si="7"/>
        <v>Meter5</v>
      </c>
      <c r="L254" s="7" t="str">
        <f t="shared" si="8"/>
        <v>kw1</v>
      </c>
    </row>
    <row r="255" spans="1:12" x14ac:dyDescent="0.25">
      <c r="A255" s="2">
        <v>247</v>
      </c>
      <c r="B255" s="3" t="s">
        <v>500</v>
      </c>
      <c r="C255" s="2" t="s">
        <v>501</v>
      </c>
      <c r="D255" s="2" t="s">
        <v>35</v>
      </c>
      <c r="E255" s="3" t="s">
        <v>1324</v>
      </c>
      <c r="G255" s="18"/>
      <c r="K255" s="7" t="str">
        <f t="shared" si="7"/>
        <v>Meter5</v>
      </c>
      <c r="L255" s="7" t="str">
        <f t="shared" si="8"/>
        <v>kw2</v>
      </c>
    </row>
    <row r="256" spans="1:12" x14ac:dyDescent="0.25">
      <c r="A256" s="2">
        <v>248</v>
      </c>
      <c r="B256" s="3" t="s">
        <v>502</v>
      </c>
      <c r="C256" s="2" t="s">
        <v>503</v>
      </c>
      <c r="D256" s="2" t="s">
        <v>35</v>
      </c>
      <c r="E256" s="3" t="s">
        <v>1325</v>
      </c>
      <c r="G256" s="18"/>
      <c r="K256" s="7" t="str">
        <f t="shared" si="7"/>
        <v>Meter5</v>
      </c>
      <c r="L256" s="7" t="str">
        <f t="shared" si="8"/>
        <v>kw3</v>
      </c>
    </row>
    <row r="257" spans="1:12" x14ac:dyDescent="0.25">
      <c r="A257" s="2">
        <v>249</v>
      </c>
      <c r="B257" s="3" t="s">
        <v>504</v>
      </c>
      <c r="C257" s="2" t="s">
        <v>505</v>
      </c>
      <c r="D257" s="2" t="s">
        <v>35</v>
      </c>
      <c r="E257" s="3" t="s">
        <v>1326</v>
      </c>
      <c r="G257" s="18"/>
      <c r="K257" s="7" t="str">
        <f t="shared" si="7"/>
        <v>Meter5</v>
      </c>
      <c r="L257" s="7" t="str">
        <f t="shared" si="8"/>
        <v>kva1</v>
      </c>
    </row>
    <row r="258" spans="1:12" x14ac:dyDescent="0.25">
      <c r="A258" s="2">
        <v>250</v>
      </c>
      <c r="B258" s="3" t="s">
        <v>506</v>
      </c>
      <c r="C258" s="2" t="s">
        <v>507</v>
      </c>
      <c r="D258" s="2" t="s">
        <v>35</v>
      </c>
      <c r="E258" s="3" t="s">
        <v>1327</v>
      </c>
      <c r="G258" s="18"/>
      <c r="K258" s="7" t="str">
        <f t="shared" si="7"/>
        <v>Meter5</v>
      </c>
      <c r="L258" s="7" t="str">
        <f t="shared" si="8"/>
        <v>kva2</v>
      </c>
    </row>
    <row r="259" spans="1:12" x14ac:dyDescent="0.25">
      <c r="A259" s="2">
        <v>251</v>
      </c>
      <c r="B259" s="3" t="s">
        <v>508</v>
      </c>
      <c r="C259" s="2" t="s">
        <v>509</v>
      </c>
      <c r="D259" s="2" t="s">
        <v>35</v>
      </c>
      <c r="E259" s="3" t="s">
        <v>1328</v>
      </c>
      <c r="G259" s="18"/>
      <c r="K259" s="7" t="str">
        <f t="shared" si="7"/>
        <v>Meter5</v>
      </c>
      <c r="L259" s="7" t="str">
        <f t="shared" si="8"/>
        <v>kva3</v>
      </c>
    </row>
    <row r="260" spans="1:12" x14ac:dyDescent="0.25">
      <c r="A260" s="2">
        <v>252</v>
      </c>
      <c r="B260" s="3" t="s">
        <v>510</v>
      </c>
      <c r="C260" s="2" t="s">
        <v>511</v>
      </c>
      <c r="D260" s="2" t="s">
        <v>35</v>
      </c>
      <c r="E260" s="3" t="s">
        <v>1329</v>
      </c>
      <c r="G260" s="18"/>
      <c r="K260" s="7" t="str">
        <f t="shared" si="7"/>
        <v>Meter5</v>
      </c>
      <c r="L260" s="7" t="str">
        <f t="shared" si="8"/>
        <v>kvar1</v>
      </c>
    </row>
    <row r="261" spans="1:12" x14ac:dyDescent="0.25">
      <c r="A261" s="2">
        <v>253</v>
      </c>
      <c r="B261" s="3" t="s">
        <v>512</v>
      </c>
      <c r="C261" s="2" t="s">
        <v>513</v>
      </c>
      <c r="D261" s="2" t="s">
        <v>35</v>
      </c>
      <c r="E261" s="3" t="s">
        <v>1330</v>
      </c>
      <c r="G261" s="18"/>
      <c r="K261" s="7" t="str">
        <f t="shared" si="7"/>
        <v>Meter5</v>
      </c>
      <c r="L261" s="7" t="str">
        <f t="shared" si="8"/>
        <v>kvar2</v>
      </c>
    </row>
    <row r="262" spans="1:12" x14ac:dyDescent="0.25">
      <c r="A262" s="2">
        <v>254</v>
      </c>
      <c r="B262" s="3" t="s">
        <v>514</v>
      </c>
      <c r="C262" s="2" t="s">
        <v>515</v>
      </c>
      <c r="D262" s="2" t="s">
        <v>35</v>
      </c>
      <c r="E262" s="3" t="s">
        <v>1331</v>
      </c>
      <c r="G262" s="18"/>
      <c r="K262" s="7" t="str">
        <f t="shared" si="7"/>
        <v>Meter5</v>
      </c>
      <c r="L262" s="7" t="str">
        <f t="shared" si="8"/>
        <v>kvar3</v>
      </c>
    </row>
    <row r="263" spans="1:12" x14ac:dyDescent="0.25">
      <c r="A263" s="2">
        <v>255</v>
      </c>
      <c r="B263" s="3" t="s">
        <v>516</v>
      </c>
      <c r="C263" s="2" t="s">
        <v>517</v>
      </c>
      <c r="D263" s="2" t="s">
        <v>35</v>
      </c>
      <c r="E263" s="3" t="s">
        <v>1332</v>
      </c>
      <c r="G263" s="18"/>
      <c r="K263" s="7" t="str">
        <f t="shared" si="7"/>
        <v>Meter5</v>
      </c>
      <c r="L263" s="7" t="str">
        <f t="shared" si="8"/>
        <v>total_kw</v>
      </c>
    </row>
    <row r="264" spans="1:12" x14ac:dyDescent="0.25">
      <c r="A264" s="2">
        <v>256</v>
      </c>
      <c r="B264" s="3" t="s">
        <v>518</v>
      </c>
      <c r="C264" s="2" t="s">
        <v>519</v>
      </c>
      <c r="D264" s="2" t="s">
        <v>35</v>
      </c>
      <c r="E264" s="3" t="s">
        <v>1333</v>
      </c>
      <c r="G264" s="18"/>
      <c r="K264" s="7" t="str">
        <f t="shared" si="7"/>
        <v>Meter5</v>
      </c>
      <c r="L264" s="7" t="str">
        <f t="shared" si="8"/>
        <v>total_kva</v>
      </c>
    </row>
    <row r="265" spans="1:12" x14ac:dyDescent="0.25">
      <c r="A265" s="2">
        <v>257</v>
      </c>
      <c r="B265" s="3" t="s">
        <v>520</v>
      </c>
      <c r="C265" s="2" t="s">
        <v>521</v>
      </c>
      <c r="D265" s="2" t="s">
        <v>35</v>
      </c>
      <c r="E265" s="3" t="s">
        <v>1334</v>
      </c>
      <c r="G265" s="18"/>
      <c r="K265" s="7" t="str">
        <f t="shared" si="7"/>
        <v>Meter5</v>
      </c>
      <c r="L265" s="7" t="str">
        <f t="shared" si="8"/>
        <v>total_kvar</v>
      </c>
    </row>
    <row r="266" spans="1:12" x14ac:dyDescent="0.25">
      <c r="A266" s="2">
        <v>258</v>
      </c>
      <c r="B266" s="3" t="s">
        <v>522</v>
      </c>
      <c r="C266" s="2" t="s">
        <v>523</v>
      </c>
      <c r="D266" s="2" t="s">
        <v>35</v>
      </c>
      <c r="E266" s="3" t="s">
        <v>1335</v>
      </c>
      <c r="G266" s="18"/>
      <c r="K266" s="7" t="str">
        <f t="shared" ref="K266:K330" si="9">LEFT(B266, SEARCH("_",B266 ) - 1)</f>
        <v>Meter5</v>
      </c>
      <c r="L266" s="7" t="str">
        <f t="shared" si="8"/>
        <v>PF1</v>
      </c>
    </row>
    <row r="267" spans="1:12" x14ac:dyDescent="0.25">
      <c r="A267" s="2">
        <v>259</v>
      </c>
      <c r="B267" s="3" t="s">
        <v>524</v>
      </c>
      <c r="C267" s="2" t="s">
        <v>525</v>
      </c>
      <c r="D267" s="2" t="s">
        <v>35</v>
      </c>
      <c r="E267" s="3" t="s">
        <v>1336</v>
      </c>
      <c r="G267" s="18"/>
      <c r="K267" s="7" t="str">
        <f t="shared" si="9"/>
        <v>Meter5</v>
      </c>
      <c r="L267" s="7" t="str">
        <f t="shared" si="8"/>
        <v>PF2</v>
      </c>
    </row>
    <row r="268" spans="1:12" x14ac:dyDescent="0.25">
      <c r="A268" s="2">
        <v>260</v>
      </c>
      <c r="B268" s="3" t="s">
        <v>526</v>
      </c>
      <c r="C268" s="2" t="s">
        <v>527</v>
      </c>
      <c r="D268" s="2" t="s">
        <v>35</v>
      </c>
      <c r="E268" s="3" t="s">
        <v>1337</v>
      </c>
      <c r="G268" s="18"/>
      <c r="K268" s="7" t="str">
        <f t="shared" si="9"/>
        <v>Meter5</v>
      </c>
      <c r="L268" s="7" t="str">
        <f t="shared" si="8"/>
        <v>PF3</v>
      </c>
    </row>
    <row r="269" spans="1:12" x14ac:dyDescent="0.25">
      <c r="A269" s="2">
        <v>261</v>
      </c>
      <c r="B269" s="3" t="s">
        <v>528</v>
      </c>
      <c r="C269" s="2" t="s">
        <v>529</v>
      </c>
      <c r="D269" s="2" t="s">
        <v>35</v>
      </c>
      <c r="E269" s="3" t="s">
        <v>1338</v>
      </c>
      <c r="G269" s="18"/>
      <c r="K269" s="7" t="str">
        <f t="shared" si="9"/>
        <v>Meter5</v>
      </c>
      <c r="L269" s="7" t="str">
        <f t="shared" si="8"/>
        <v>PF</v>
      </c>
    </row>
    <row r="270" spans="1:12" x14ac:dyDescent="0.25">
      <c r="A270" s="2">
        <v>262</v>
      </c>
      <c r="B270" s="3" t="s">
        <v>530</v>
      </c>
      <c r="C270" s="2" t="s">
        <v>531</v>
      </c>
      <c r="D270" s="2" t="s">
        <v>35</v>
      </c>
      <c r="E270" s="3" t="s">
        <v>1339</v>
      </c>
      <c r="G270" s="18"/>
      <c r="K270" s="7" t="str">
        <f t="shared" si="9"/>
        <v>Meter5</v>
      </c>
      <c r="L270" s="7" t="str">
        <f t="shared" si="8"/>
        <v>freq</v>
      </c>
    </row>
    <row r="271" spans="1:12" x14ac:dyDescent="0.25">
      <c r="A271" s="2">
        <v>263</v>
      </c>
      <c r="B271" s="3" t="s">
        <v>532</v>
      </c>
      <c r="C271" s="2" t="s">
        <v>533</v>
      </c>
      <c r="D271" s="2" t="s">
        <v>35</v>
      </c>
      <c r="E271" s="3" t="s">
        <v>1340</v>
      </c>
      <c r="G271" s="18"/>
      <c r="K271" s="7" t="str">
        <f t="shared" si="9"/>
        <v>Meter5</v>
      </c>
      <c r="L271" s="7" t="str">
        <f t="shared" ref="L271:L335" si="10">RIGHT(B271, LEN(B271)-SEARCH("_",B271 ))</f>
        <v>kwh</v>
      </c>
    </row>
    <row r="272" spans="1:12" x14ac:dyDescent="0.25">
      <c r="A272" s="2">
        <v>264</v>
      </c>
      <c r="B272" s="3" t="s">
        <v>534</v>
      </c>
      <c r="C272" s="2" t="s">
        <v>535</v>
      </c>
      <c r="D272" s="2" t="s">
        <v>35</v>
      </c>
      <c r="E272" s="3" t="s">
        <v>1341</v>
      </c>
      <c r="G272" s="18"/>
      <c r="K272" s="7" t="str">
        <f t="shared" si="9"/>
        <v>Meter5</v>
      </c>
      <c r="L272" s="7" t="str">
        <f t="shared" si="10"/>
        <v>kvah</v>
      </c>
    </row>
    <row r="273" spans="1:12" x14ac:dyDescent="0.25">
      <c r="A273" s="2">
        <v>265</v>
      </c>
      <c r="B273" s="3" t="s">
        <v>536</v>
      </c>
      <c r="C273" s="2" t="s">
        <v>537</v>
      </c>
      <c r="D273" s="2" t="s">
        <v>35</v>
      </c>
      <c r="E273" s="3" t="s">
        <v>1342</v>
      </c>
      <c r="G273" s="18"/>
      <c r="K273" s="7" t="str">
        <f t="shared" si="9"/>
        <v>Meter5</v>
      </c>
      <c r="L273" s="7" t="str">
        <f t="shared" si="10"/>
        <v>kvarh</v>
      </c>
    </row>
    <row r="274" spans="1:12" x14ac:dyDescent="0.25">
      <c r="A274" s="2">
        <v>266</v>
      </c>
      <c r="B274" s="3" t="s">
        <v>538</v>
      </c>
      <c r="C274" s="2" t="s">
        <v>539</v>
      </c>
      <c r="D274" s="2" t="s">
        <v>7</v>
      </c>
      <c r="E274" s="3" t="s">
        <v>1343</v>
      </c>
      <c r="G274" s="18"/>
      <c r="K274" s="7" t="str">
        <f t="shared" si="9"/>
        <v>Pump5</v>
      </c>
      <c r="L274" s="7" t="str">
        <f t="shared" si="10"/>
        <v>Ctrl_run_Pump</v>
      </c>
    </row>
    <row r="275" spans="1:12" x14ac:dyDescent="0.25">
      <c r="A275" s="2">
        <v>267</v>
      </c>
      <c r="B275" s="3" t="s">
        <v>540</v>
      </c>
      <c r="C275" s="2" t="s">
        <v>541</v>
      </c>
      <c r="D275" s="2" t="s">
        <v>7</v>
      </c>
      <c r="E275" s="3" t="s">
        <v>1354</v>
      </c>
      <c r="G275" s="18"/>
      <c r="H275" t="s">
        <v>1496</v>
      </c>
      <c r="K275" s="7" t="str">
        <f t="shared" si="9"/>
        <v>Pump5</v>
      </c>
      <c r="L275" s="7" t="str">
        <f t="shared" si="10"/>
        <v>FB_Fault</v>
      </c>
    </row>
    <row r="276" spans="1:12" x14ac:dyDescent="0.25">
      <c r="A276" s="2">
        <v>268</v>
      </c>
      <c r="B276" s="3" t="s">
        <v>542</v>
      </c>
      <c r="C276" s="2" t="s">
        <v>543</v>
      </c>
      <c r="D276" s="2" t="s">
        <v>7</v>
      </c>
      <c r="E276" s="3" t="s">
        <v>1344</v>
      </c>
      <c r="G276" s="18"/>
      <c r="K276" s="7" t="str">
        <f t="shared" si="9"/>
        <v>Pump5</v>
      </c>
      <c r="L276" s="7" t="str">
        <f t="shared" si="10"/>
        <v>Ctrl_PB_Run</v>
      </c>
    </row>
    <row r="277" spans="1:12" x14ac:dyDescent="0.25">
      <c r="A277" s="2">
        <v>269</v>
      </c>
      <c r="B277" s="3" t="s">
        <v>544</v>
      </c>
      <c r="C277" s="2" t="s">
        <v>545</v>
      </c>
      <c r="D277" s="2" t="s">
        <v>7</v>
      </c>
      <c r="E277" s="3" t="s">
        <v>1345</v>
      </c>
      <c r="G277" s="18"/>
      <c r="K277" s="7" t="str">
        <f t="shared" si="9"/>
        <v>Pump5</v>
      </c>
      <c r="L277" s="7" t="str">
        <f t="shared" si="10"/>
        <v>Ctrl_PB_Stop</v>
      </c>
    </row>
    <row r="278" spans="1:12" x14ac:dyDescent="0.25">
      <c r="A278" s="2">
        <v>270</v>
      </c>
      <c r="B278" s="3" t="s">
        <v>546</v>
      </c>
      <c r="C278" s="2" t="s">
        <v>547</v>
      </c>
      <c r="D278" s="2" t="s">
        <v>7</v>
      </c>
      <c r="E278" s="3" t="s">
        <v>1346</v>
      </c>
      <c r="G278" s="18"/>
      <c r="K278" s="7" t="str">
        <f t="shared" si="9"/>
        <v>Pump5</v>
      </c>
      <c r="L278" s="7" t="str">
        <f t="shared" si="10"/>
        <v>Ctrl_PB_RST</v>
      </c>
    </row>
    <row r="279" spans="1:12" x14ac:dyDescent="0.25">
      <c r="A279" s="2">
        <v>271</v>
      </c>
      <c r="B279" s="3" t="s">
        <v>548</v>
      </c>
      <c r="C279" s="2" t="s">
        <v>549</v>
      </c>
      <c r="D279" s="2" t="s">
        <v>24</v>
      </c>
      <c r="E279" s="3" t="s">
        <v>1347</v>
      </c>
      <c r="G279" s="18"/>
      <c r="K279" s="7" t="str">
        <f t="shared" si="9"/>
        <v>Pump5</v>
      </c>
      <c r="L279" s="7" t="str">
        <f t="shared" si="10"/>
        <v>Time_Run_M</v>
      </c>
    </row>
    <row r="280" spans="1:12" x14ac:dyDescent="0.25">
      <c r="A280" s="2">
        <v>272</v>
      </c>
      <c r="B280" s="3" t="s">
        <v>550</v>
      </c>
      <c r="C280" s="2" t="s">
        <v>551</v>
      </c>
      <c r="D280" s="2" t="s">
        <v>24</v>
      </c>
      <c r="E280" s="3" t="s">
        <v>1348</v>
      </c>
      <c r="G280" s="18"/>
      <c r="K280" s="7" t="str">
        <f t="shared" si="9"/>
        <v>Pump5</v>
      </c>
      <c r="L280" s="7" t="str">
        <f t="shared" si="10"/>
        <v>Time_Run_H</v>
      </c>
    </row>
    <row r="281" spans="1:12" x14ac:dyDescent="0.25">
      <c r="A281" s="2">
        <v>273</v>
      </c>
      <c r="B281" s="3" t="s">
        <v>552</v>
      </c>
      <c r="C281" s="2" t="s">
        <v>553</v>
      </c>
      <c r="D281" s="2" t="s">
        <v>24</v>
      </c>
      <c r="E281" s="3" t="s">
        <v>1349</v>
      </c>
      <c r="G281" s="18"/>
      <c r="K281" s="7" t="str">
        <f t="shared" si="9"/>
        <v>Pump5</v>
      </c>
      <c r="L281" s="7" t="str">
        <f t="shared" si="10"/>
        <v>Total_Time_Run_M</v>
      </c>
    </row>
    <row r="282" spans="1:12" x14ac:dyDescent="0.25">
      <c r="A282" s="2">
        <v>274</v>
      </c>
      <c r="B282" s="3" t="s">
        <v>554</v>
      </c>
      <c r="C282" s="2" t="s">
        <v>555</v>
      </c>
      <c r="D282" s="2" t="s">
        <v>24</v>
      </c>
      <c r="E282" s="3" t="s">
        <v>1350</v>
      </c>
      <c r="G282" s="18"/>
      <c r="H282" t="s">
        <v>1407</v>
      </c>
      <c r="K282" s="7" t="str">
        <f t="shared" si="9"/>
        <v>Pump5</v>
      </c>
      <c r="L282" s="7" t="str">
        <f t="shared" si="10"/>
        <v>Total_Time_Run_H</v>
      </c>
    </row>
    <row r="283" spans="1:12" x14ac:dyDescent="0.25">
      <c r="A283" s="2">
        <v>275</v>
      </c>
      <c r="B283" s="3" t="s">
        <v>556</v>
      </c>
      <c r="C283" s="2" t="s">
        <v>557</v>
      </c>
      <c r="D283" s="2" t="s">
        <v>24</v>
      </c>
      <c r="E283" s="3" t="s">
        <v>1351</v>
      </c>
      <c r="G283" s="18"/>
      <c r="K283" s="7" t="str">
        <f t="shared" si="9"/>
        <v>Pump5</v>
      </c>
      <c r="L283" s="7" t="str">
        <f t="shared" si="10"/>
        <v>NumberOfclose</v>
      </c>
    </row>
    <row r="284" spans="1:12" x14ac:dyDescent="0.25">
      <c r="A284" s="2">
        <v>276</v>
      </c>
      <c r="B284" s="3" t="s">
        <v>558</v>
      </c>
      <c r="C284" s="2" t="s">
        <v>559</v>
      </c>
      <c r="D284" s="2" t="s">
        <v>7</v>
      </c>
      <c r="E284" s="3" t="s">
        <v>1355</v>
      </c>
      <c r="G284" s="18" t="s">
        <v>1500</v>
      </c>
      <c r="K284" s="7" t="str">
        <f t="shared" si="9"/>
        <v>Pump6</v>
      </c>
      <c r="L284" s="7" t="str">
        <f t="shared" si="10"/>
        <v>FB_auto</v>
      </c>
    </row>
    <row r="285" spans="1:12" x14ac:dyDescent="0.25">
      <c r="A285" s="2">
        <v>277</v>
      </c>
      <c r="B285" s="3" t="s">
        <v>560</v>
      </c>
      <c r="C285" s="2" t="s">
        <v>561</v>
      </c>
      <c r="D285" s="2" t="s">
        <v>7</v>
      </c>
      <c r="E285" s="3" t="s">
        <v>1306</v>
      </c>
      <c r="G285" s="18"/>
      <c r="H285" t="s">
        <v>1497</v>
      </c>
      <c r="K285" s="7" t="str">
        <f t="shared" si="9"/>
        <v>Pump6</v>
      </c>
      <c r="L285" s="7" t="str">
        <f t="shared" si="10"/>
        <v>FB_Run</v>
      </c>
    </row>
    <row r="286" spans="1:12" x14ac:dyDescent="0.25">
      <c r="A286" s="2">
        <v>278</v>
      </c>
      <c r="B286" s="3" t="s">
        <v>562</v>
      </c>
      <c r="C286" s="2" t="s">
        <v>563</v>
      </c>
      <c r="D286" s="2" t="s">
        <v>7</v>
      </c>
      <c r="E286" s="3" t="s">
        <v>1307</v>
      </c>
      <c r="G286" s="18"/>
      <c r="K286" s="7" t="str">
        <f t="shared" si="9"/>
        <v>Pump6</v>
      </c>
      <c r="L286" s="7" t="str">
        <f t="shared" si="10"/>
        <v>FB_Fault_V</v>
      </c>
    </row>
    <row r="287" spans="1:12" x14ac:dyDescent="0.25">
      <c r="A287" s="2">
        <v>279</v>
      </c>
      <c r="B287" s="3" t="s">
        <v>564</v>
      </c>
      <c r="C287" s="2" t="s">
        <v>565</v>
      </c>
      <c r="D287" s="2" t="s">
        <v>7</v>
      </c>
      <c r="E287" s="3" t="s">
        <v>1307</v>
      </c>
      <c r="G287" s="18"/>
      <c r="H287" t="s">
        <v>1499</v>
      </c>
      <c r="K287" s="7" t="str">
        <f t="shared" si="9"/>
        <v>Pump6</v>
      </c>
      <c r="L287" s="7" t="str">
        <f t="shared" si="10"/>
        <v>FB_Fault_SS</v>
      </c>
    </row>
    <row r="288" spans="1:12" x14ac:dyDescent="0.25">
      <c r="A288" s="2">
        <v>280</v>
      </c>
      <c r="B288" s="3" t="s">
        <v>566</v>
      </c>
      <c r="C288" s="2" t="s">
        <v>567</v>
      </c>
      <c r="D288" s="2" t="s">
        <v>7</v>
      </c>
      <c r="E288" s="3" t="s">
        <v>1356</v>
      </c>
      <c r="G288" s="18"/>
      <c r="K288" s="7" t="str">
        <f t="shared" si="9"/>
        <v>Pump6</v>
      </c>
      <c r="L288" s="7" t="str">
        <f t="shared" si="10"/>
        <v>FB_Fault_Temp</v>
      </c>
    </row>
    <row r="289" spans="1:12" x14ac:dyDescent="0.25">
      <c r="A289" s="2">
        <v>281</v>
      </c>
      <c r="B289" s="3" t="s">
        <v>568</v>
      </c>
      <c r="C289" s="2" t="s">
        <v>569</v>
      </c>
      <c r="D289" s="2" t="s">
        <v>7</v>
      </c>
      <c r="E289" s="3" t="s">
        <v>1307</v>
      </c>
      <c r="G289" s="18"/>
      <c r="K289" s="7" t="str">
        <f t="shared" si="9"/>
        <v>Pump6</v>
      </c>
      <c r="L289" s="7" t="str">
        <f t="shared" si="10"/>
        <v>FB_Fault_Curent</v>
      </c>
    </row>
    <row r="290" spans="1:12" x14ac:dyDescent="0.25">
      <c r="A290" s="2">
        <v>282</v>
      </c>
      <c r="B290" s="3" t="s">
        <v>570</v>
      </c>
      <c r="C290" s="2" t="s">
        <v>571</v>
      </c>
      <c r="D290" s="2" t="s">
        <v>7</v>
      </c>
      <c r="E290" s="3" t="s">
        <v>1357</v>
      </c>
      <c r="G290" s="18"/>
      <c r="K290" s="7" t="str">
        <f t="shared" si="9"/>
        <v>Pump6</v>
      </c>
      <c r="L290" s="7" t="str">
        <f t="shared" si="10"/>
        <v>Clock_1m</v>
      </c>
    </row>
    <row r="291" spans="1:12" x14ac:dyDescent="0.25">
      <c r="A291" s="2">
        <v>283</v>
      </c>
      <c r="B291" s="3" t="s">
        <v>572</v>
      </c>
      <c r="C291" s="2" t="s">
        <v>573</v>
      </c>
      <c r="D291" s="2" t="s">
        <v>7</v>
      </c>
      <c r="E291" s="3" t="s">
        <v>1358</v>
      </c>
      <c r="G291" s="18"/>
      <c r="H291" t="s">
        <v>1498</v>
      </c>
      <c r="K291" s="7" t="str">
        <f t="shared" si="9"/>
        <v>Pump6</v>
      </c>
      <c r="L291" s="7" t="str">
        <f t="shared" si="10"/>
        <v>FB_stop</v>
      </c>
    </row>
    <row r="292" spans="1:12" x14ac:dyDescent="0.25">
      <c r="A292" s="2">
        <v>8</v>
      </c>
      <c r="B292" s="12" t="s">
        <v>1438</v>
      </c>
      <c r="C292" s="2" t="s">
        <v>21</v>
      </c>
      <c r="D292" s="2" t="s">
        <v>7</v>
      </c>
      <c r="E292" s="3" t="s">
        <v>1393</v>
      </c>
      <c r="G292" s="18"/>
      <c r="H292" t="s">
        <v>1494</v>
      </c>
      <c r="K292" s="7" t="str">
        <f t="shared" si="9"/>
        <v>Pump6</v>
      </c>
      <c r="L292" s="7" t="str">
        <f t="shared" si="10"/>
        <v>FB_maintenance</v>
      </c>
    </row>
    <row r="293" spans="1:12" x14ac:dyDescent="0.25">
      <c r="A293" s="2">
        <v>284</v>
      </c>
      <c r="B293" s="3" t="s">
        <v>574</v>
      </c>
      <c r="C293" s="2" t="s">
        <v>575</v>
      </c>
      <c r="D293" s="2" t="s">
        <v>24</v>
      </c>
      <c r="E293" s="3" t="s">
        <v>1352</v>
      </c>
      <c r="G293" s="18"/>
      <c r="K293" s="7" t="str">
        <f t="shared" si="9"/>
        <v>Pump6</v>
      </c>
      <c r="L293" s="7" t="str">
        <f t="shared" si="10"/>
        <v>FB_Temp_DEBearing</v>
      </c>
    </row>
    <row r="294" spans="1:12" x14ac:dyDescent="0.25">
      <c r="A294" s="2">
        <v>285</v>
      </c>
      <c r="B294" s="3" t="s">
        <v>576</v>
      </c>
      <c r="C294" s="2" t="s">
        <v>577</v>
      </c>
      <c r="D294" s="2" t="s">
        <v>24</v>
      </c>
      <c r="E294" s="3" t="s">
        <v>1353</v>
      </c>
      <c r="G294" s="18"/>
      <c r="K294" s="7" t="str">
        <f t="shared" si="9"/>
        <v>Pump6</v>
      </c>
      <c r="L294" s="7" t="str">
        <f t="shared" si="10"/>
        <v>FB_Temp_NDEBearing</v>
      </c>
    </row>
    <row r="295" spans="1:12" x14ac:dyDescent="0.25">
      <c r="A295" s="2">
        <v>286</v>
      </c>
      <c r="B295" s="3" t="s">
        <v>578</v>
      </c>
      <c r="C295" s="2" t="s">
        <v>579</v>
      </c>
      <c r="D295" s="2" t="s">
        <v>24</v>
      </c>
      <c r="E295" s="3" t="s">
        <v>1308</v>
      </c>
      <c r="G295" s="18"/>
      <c r="K295" s="7" t="str">
        <f t="shared" si="9"/>
        <v>Pump6</v>
      </c>
      <c r="L295" s="7" t="str">
        <f t="shared" si="10"/>
        <v>FB_Temp_PhaseA</v>
      </c>
    </row>
    <row r="296" spans="1:12" x14ac:dyDescent="0.25">
      <c r="A296" s="2">
        <v>287</v>
      </c>
      <c r="B296" s="3" t="s">
        <v>580</v>
      </c>
      <c r="C296" s="2" t="s">
        <v>581</v>
      </c>
      <c r="D296" s="2" t="s">
        <v>24</v>
      </c>
      <c r="E296" s="3" t="s">
        <v>1309</v>
      </c>
      <c r="G296" s="18"/>
      <c r="K296" s="7" t="str">
        <f t="shared" si="9"/>
        <v>Pump6</v>
      </c>
      <c r="L296" s="7" t="str">
        <f t="shared" si="10"/>
        <v>FB_Temp_PhaseB</v>
      </c>
    </row>
    <row r="297" spans="1:12" x14ac:dyDescent="0.25">
      <c r="A297" s="2">
        <v>288</v>
      </c>
      <c r="B297" s="3" t="s">
        <v>582</v>
      </c>
      <c r="C297" s="2" t="s">
        <v>583</v>
      </c>
      <c r="D297" s="2" t="s">
        <v>24</v>
      </c>
      <c r="E297" s="3" t="s">
        <v>1310</v>
      </c>
      <c r="G297" s="18"/>
      <c r="K297" s="7" t="str">
        <f t="shared" si="9"/>
        <v>Pump6</v>
      </c>
      <c r="L297" s="7" t="str">
        <f t="shared" si="10"/>
        <v>FB_Temp_PhaseC</v>
      </c>
    </row>
    <row r="298" spans="1:12" x14ac:dyDescent="0.25">
      <c r="A298" s="2">
        <v>289</v>
      </c>
      <c r="B298" s="3" t="s">
        <v>584</v>
      </c>
      <c r="C298" s="2" t="s">
        <v>585</v>
      </c>
      <c r="D298" s="2" t="s">
        <v>35</v>
      </c>
      <c r="E298" s="3" t="s">
        <v>1315</v>
      </c>
      <c r="G298" s="18"/>
      <c r="K298" s="7" t="str">
        <f t="shared" si="9"/>
        <v>Meter6</v>
      </c>
      <c r="L298" s="7" t="str">
        <f t="shared" si="10"/>
        <v>U1</v>
      </c>
    </row>
    <row r="299" spans="1:12" x14ac:dyDescent="0.25">
      <c r="A299" s="2">
        <v>290</v>
      </c>
      <c r="B299" s="3" t="s">
        <v>586</v>
      </c>
      <c r="C299" s="2" t="s">
        <v>587</v>
      </c>
      <c r="D299" s="2" t="s">
        <v>35</v>
      </c>
      <c r="E299" s="3" t="s">
        <v>1316</v>
      </c>
      <c r="G299" s="18"/>
      <c r="K299" s="7" t="str">
        <f t="shared" si="9"/>
        <v>Meter6</v>
      </c>
      <c r="L299" s="7" t="str">
        <f t="shared" si="10"/>
        <v>U2</v>
      </c>
    </row>
    <row r="300" spans="1:12" x14ac:dyDescent="0.25">
      <c r="A300" s="2">
        <v>291</v>
      </c>
      <c r="B300" s="3" t="s">
        <v>588</v>
      </c>
      <c r="C300" s="2" t="s">
        <v>589</v>
      </c>
      <c r="D300" s="2" t="s">
        <v>35</v>
      </c>
      <c r="E300" s="3" t="s">
        <v>1317</v>
      </c>
      <c r="G300" s="18"/>
      <c r="K300" s="7" t="str">
        <f t="shared" si="9"/>
        <v>Meter6</v>
      </c>
      <c r="L300" s="7" t="str">
        <f t="shared" si="10"/>
        <v>U3</v>
      </c>
    </row>
    <row r="301" spans="1:12" x14ac:dyDescent="0.25">
      <c r="A301" s="2">
        <v>292</v>
      </c>
      <c r="B301" s="3" t="s">
        <v>590</v>
      </c>
      <c r="C301" s="2" t="s">
        <v>591</v>
      </c>
      <c r="D301" s="2" t="s">
        <v>35</v>
      </c>
      <c r="E301" s="3" t="s">
        <v>1318</v>
      </c>
      <c r="G301" s="18"/>
      <c r="K301" s="7" t="str">
        <f t="shared" si="9"/>
        <v>Meter6</v>
      </c>
      <c r="L301" s="7" t="str">
        <f t="shared" si="10"/>
        <v>U_Ph</v>
      </c>
    </row>
    <row r="302" spans="1:12" x14ac:dyDescent="0.25">
      <c r="A302" s="2">
        <v>293</v>
      </c>
      <c r="B302" s="3" t="s">
        <v>592</v>
      </c>
      <c r="C302" s="2" t="s">
        <v>593</v>
      </c>
      <c r="D302" s="2" t="s">
        <v>35</v>
      </c>
      <c r="E302" s="3" t="s">
        <v>1319</v>
      </c>
      <c r="G302" s="18"/>
      <c r="H302" t="s">
        <v>1486</v>
      </c>
      <c r="K302" s="7" t="str">
        <f t="shared" si="9"/>
        <v>Meter6</v>
      </c>
      <c r="L302" s="7" t="str">
        <f t="shared" si="10"/>
        <v>U12</v>
      </c>
    </row>
    <row r="303" spans="1:12" x14ac:dyDescent="0.25">
      <c r="A303" s="2">
        <v>294</v>
      </c>
      <c r="B303" s="3" t="s">
        <v>594</v>
      </c>
      <c r="C303" s="2" t="s">
        <v>595</v>
      </c>
      <c r="D303" s="2" t="s">
        <v>35</v>
      </c>
      <c r="E303" s="3" t="s">
        <v>1320</v>
      </c>
      <c r="G303" s="18"/>
      <c r="H303" t="s">
        <v>1487</v>
      </c>
      <c r="K303" s="7" t="str">
        <f t="shared" si="9"/>
        <v>Meter6</v>
      </c>
      <c r="L303" s="7" t="str">
        <f t="shared" si="10"/>
        <v>U23</v>
      </c>
    </row>
    <row r="304" spans="1:12" x14ac:dyDescent="0.25">
      <c r="A304" s="2">
        <v>295</v>
      </c>
      <c r="B304" s="3" t="s">
        <v>596</v>
      </c>
      <c r="C304" s="2" t="s">
        <v>597</v>
      </c>
      <c r="D304" s="2" t="s">
        <v>35</v>
      </c>
      <c r="E304" s="3" t="s">
        <v>1321</v>
      </c>
      <c r="G304" s="18"/>
      <c r="H304" t="s">
        <v>1488</v>
      </c>
      <c r="K304" s="7" t="str">
        <f t="shared" si="9"/>
        <v>Meter6</v>
      </c>
      <c r="L304" s="7" t="str">
        <f t="shared" si="10"/>
        <v>U31</v>
      </c>
    </row>
    <row r="305" spans="1:12" x14ac:dyDescent="0.25">
      <c r="A305" s="2">
        <v>296</v>
      </c>
      <c r="B305" s="3" t="s">
        <v>598</v>
      </c>
      <c r="C305" s="2" t="s">
        <v>599</v>
      </c>
      <c r="D305" s="2" t="s">
        <v>35</v>
      </c>
      <c r="E305" s="3" t="s">
        <v>1322</v>
      </c>
      <c r="G305" s="18"/>
      <c r="K305" s="7" t="str">
        <f t="shared" si="9"/>
        <v>Meter6</v>
      </c>
      <c r="L305" s="7" t="str">
        <f t="shared" si="10"/>
        <v>Uline</v>
      </c>
    </row>
    <row r="306" spans="1:12" x14ac:dyDescent="0.25">
      <c r="A306" s="2">
        <v>297</v>
      </c>
      <c r="B306" s="3" t="s">
        <v>600</v>
      </c>
      <c r="C306" s="2" t="s">
        <v>601</v>
      </c>
      <c r="D306" s="2" t="s">
        <v>35</v>
      </c>
      <c r="E306" s="3" t="s">
        <v>1312</v>
      </c>
      <c r="G306" s="18"/>
      <c r="H306" s="7" t="s">
        <v>1483</v>
      </c>
      <c r="K306" s="7" t="str">
        <f t="shared" si="9"/>
        <v>Meter6</v>
      </c>
      <c r="L306" s="7" t="str">
        <f t="shared" si="10"/>
        <v>I1</v>
      </c>
    </row>
    <row r="307" spans="1:12" x14ac:dyDescent="0.25">
      <c r="A307" s="2">
        <v>298</v>
      </c>
      <c r="B307" s="3" t="s">
        <v>602</v>
      </c>
      <c r="C307" s="2" t="s">
        <v>603</v>
      </c>
      <c r="D307" s="2" t="s">
        <v>35</v>
      </c>
      <c r="E307" s="3" t="s">
        <v>1313</v>
      </c>
      <c r="G307" s="18"/>
      <c r="H307" s="7" t="s">
        <v>1484</v>
      </c>
      <c r="K307" s="7" t="str">
        <f t="shared" si="9"/>
        <v>Meter6</v>
      </c>
      <c r="L307" s="7" t="str">
        <f t="shared" si="10"/>
        <v>I2</v>
      </c>
    </row>
    <row r="308" spans="1:12" x14ac:dyDescent="0.25">
      <c r="A308" s="2">
        <v>299</v>
      </c>
      <c r="B308" s="3" t="s">
        <v>604</v>
      </c>
      <c r="C308" s="2" t="s">
        <v>605</v>
      </c>
      <c r="D308" s="2" t="s">
        <v>35</v>
      </c>
      <c r="E308" s="3" t="s">
        <v>1314</v>
      </c>
      <c r="G308" s="18"/>
      <c r="H308" s="7" t="s">
        <v>1485</v>
      </c>
      <c r="K308" s="7" t="str">
        <f t="shared" si="9"/>
        <v>Meter6</v>
      </c>
      <c r="L308" s="7" t="str">
        <f t="shared" si="10"/>
        <v>I3</v>
      </c>
    </row>
    <row r="309" spans="1:12" x14ac:dyDescent="0.25">
      <c r="A309" s="2">
        <v>300</v>
      </c>
      <c r="B309" s="3" t="s">
        <v>606</v>
      </c>
      <c r="C309" s="2" t="s">
        <v>607</v>
      </c>
      <c r="D309" s="2" t="s">
        <v>35</v>
      </c>
      <c r="E309" s="3" t="s">
        <v>1311</v>
      </c>
      <c r="G309" s="18"/>
      <c r="H309" s="3" t="s">
        <v>1311</v>
      </c>
      <c r="K309" s="7" t="str">
        <f t="shared" si="9"/>
        <v>Meter6</v>
      </c>
      <c r="L309" s="7" t="str">
        <f t="shared" si="10"/>
        <v>I_ph</v>
      </c>
    </row>
    <row r="310" spans="1:12" x14ac:dyDescent="0.25">
      <c r="A310" s="2">
        <v>301</v>
      </c>
      <c r="B310" s="3" t="s">
        <v>608</v>
      </c>
      <c r="C310" s="2" t="s">
        <v>609</v>
      </c>
      <c r="D310" s="2" t="s">
        <v>35</v>
      </c>
      <c r="E310" s="3" t="s">
        <v>1323</v>
      </c>
      <c r="G310" s="18"/>
      <c r="K310" s="7" t="str">
        <f t="shared" si="9"/>
        <v>Meter6</v>
      </c>
      <c r="L310" s="7" t="str">
        <f t="shared" si="10"/>
        <v>kw1</v>
      </c>
    </row>
    <row r="311" spans="1:12" x14ac:dyDescent="0.25">
      <c r="A311" s="2">
        <v>302</v>
      </c>
      <c r="B311" s="3" t="s">
        <v>610</v>
      </c>
      <c r="C311" s="2" t="s">
        <v>611</v>
      </c>
      <c r="D311" s="2" t="s">
        <v>35</v>
      </c>
      <c r="E311" s="3" t="s">
        <v>1324</v>
      </c>
      <c r="G311" s="18"/>
      <c r="K311" s="7" t="str">
        <f t="shared" si="9"/>
        <v>Meter6</v>
      </c>
      <c r="L311" s="7" t="str">
        <f t="shared" si="10"/>
        <v>kw2</v>
      </c>
    </row>
    <row r="312" spans="1:12" x14ac:dyDescent="0.25">
      <c r="A312" s="2">
        <v>303</v>
      </c>
      <c r="B312" s="3" t="s">
        <v>612</v>
      </c>
      <c r="C312" s="2" t="s">
        <v>613</v>
      </c>
      <c r="D312" s="2" t="s">
        <v>35</v>
      </c>
      <c r="E312" s="3" t="s">
        <v>1325</v>
      </c>
      <c r="G312" s="18"/>
      <c r="K312" s="7" t="str">
        <f t="shared" si="9"/>
        <v>Meter6</v>
      </c>
      <c r="L312" s="7" t="str">
        <f t="shared" si="10"/>
        <v>kw3</v>
      </c>
    </row>
    <row r="313" spans="1:12" x14ac:dyDescent="0.25">
      <c r="A313" s="2">
        <v>304</v>
      </c>
      <c r="B313" s="3" t="s">
        <v>614</v>
      </c>
      <c r="C313" s="2" t="s">
        <v>615</v>
      </c>
      <c r="D313" s="2" t="s">
        <v>35</v>
      </c>
      <c r="E313" s="3" t="s">
        <v>1326</v>
      </c>
      <c r="G313" s="18"/>
      <c r="K313" s="7" t="str">
        <f t="shared" si="9"/>
        <v>Meter6</v>
      </c>
      <c r="L313" s="7" t="str">
        <f t="shared" si="10"/>
        <v>kva1</v>
      </c>
    </row>
    <row r="314" spans="1:12" x14ac:dyDescent="0.25">
      <c r="A314" s="2">
        <v>305</v>
      </c>
      <c r="B314" s="3" t="s">
        <v>616</v>
      </c>
      <c r="C314" s="2" t="s">
        <v>617</v>
      </c>
      <c r="D314" s="2" t="s">
        <v>35</v>
      </c>
      <c r="E314" s="3" t="s">
        <v>1327</v>
      </c>
      <c r="G314" s="18"/>
      <c r="K314" s="7" t="str">
        <f t="shared" si="9"/>
        <v>Meter6</v>
      </c>
      <c r="L314" s="7" t="str">
        <f t="shared" si="10"/>
        <v>kva2</v>
      </c>
    </row>
    <row r="315" spans="1:12" x14ac:dyDescent="0.25">
      <c r="A315" s="2">
        <v>306</v>
      </c>
      <c r="B315" s="3" t="s">
        <v>618</v>
      </c>
      <c r="C315" s="2" t="s">
        <v>619</v>
      </c>
      <c r="D315" s="2" t="s">
        <v>35</v>
      </c>
      <c r="E315" s="3" t="s">
        <v>1328</v>
      </c>
      <c r="G315" s="18"/>
      <c r="K315" s="7" t="str">
        <f t="shared" si="9"/>
        <v>Meter6</v>
      </c>
      <c r="L315" s="7" t="str">
        <f t="shared" si="10"/>
        <v>kva3</v>
      </c>
    </row>
    <row r="316" spans="1:12" x14ac:dyDescent="0.25">
      <c r="A316" s="2">
        <v>307</v>
      </c>
      <c r="B316" s="3" t="s">
        <v>620</v>
      </c>
      <c r="C316" s="2" t="s">
        <v>621</v>
      </c>
      <c r="D316" s="2" t="s">
        <v>35</v>
      </c>
      <c r="E316" s="3" t="s">
        <v>1329</v>
      </c>
      <c r="G316" s="18"/>
      <c r="K316" s="7" t="str">
        <f t="shared" si="9"/>
        <v>Meter6</v>
      </c>
      <c r="L316" s="7" t="str">
        <f t="shared" si="10"/>
        <v>kvar1</v>
      </c>
    </row>
    <row r="317" spans="1:12" x14ac:dyDescent="0.25">
      <c r="A317" s="2">
        <v>308</v>
      </c>
      <c r="B317" s="3" t="s">
        <v>622</v>
      </c>
      <c r="C317" s="2" t="s">
        <v>623</v>
      </c>
      <c r="D317" s="2" t="s">
        <v>35</v>
      </c>
      <c r="E317" s="3" t="s">
        <v>1330</v>
      </c>
      <c r="G317" s="18"/>
      <c r="K317" s="7" t="str">
        <f t="shared" si="9"/>
        <v>Meter6</v>
      </c>
      <c r="L317" s="7" t="str">
        <f t="shared" si="10"/>
        <v>kvar2</v>
      </c>
    </row>
    <row r="318" spans="1:12" x14ac:dyDescent="0.25">
      <c r="A318" s="2">
        <v>309</v>
      </c>
      <c r="B318" s="3" t="s">
        <v>624</v>
      </c>
      <c r="C318" s="2" t="s">
        <v>625</v>
      </c>
      <c r="D318" s="2" t="s">
        <v>35</v>
      </c>
      <c r="E318" s="3" t="s">
        <v>1331</v>
      </c>
      <c r="G318" s="18"/>
      <c r="K318" s="7" t="str">
        <f t="shared" si="9"/>
        <v>Meter6</v>
      </c>
      <c r="L318" s="7" t="str">
        <f t="shared" si="10"/>
        <v>kvar3</v>
      </c>
    </row>
    <row r="319" spans="1:12" x14ac:dyDescent="0.25">
      <c r="A319" s="2">
        <v>310</v>
      </c>
      <c r="B319" s="3" t="s">
        <v>626</v>
      </c>
      <c r="C319" s="2" t="s">
        <v>627</v>
      </c>
      <c r="D319" s="2" t="s">
        <v>35</v>
      </c>
      <c r="E319" s="3" t="s">
        <v>1332</v>
      </c>
      <c r="G319" s="18"/>
      <c r="K319" s="7" t="str">
        <f t="shared" si="9"/>
        <v>Meter6</v>
      </c>
      <c r="L319" s="7" t="str">
        <f t="shared" si="10"/>
        <v>total_kw</v>
      </c>
    </row>
    <row r="320" spans="1:12" x14ac:dyDescent="0.25">
      <c r="A320" s="2">
        <v>311</v>
      </c>
      <c r="B320" s="3" t="s">
        <v>628</v>
      </c>
      <c r="C320" s="2" t="s">
        <v>629</v>
      </c>
      <c r="D320" s="2" t="s">
        <v>35</v>
      </c>
      <c r="E320" s="3" t="s">
        <v>1333</v>
      </c>
      <c r="G320" s="18"/>
      <c r="K320" s="7" t="str">
        <f t="shared" si="9"/>
        <v>Meter6</v>
      </c>
      <c r="L320" s="7" t="str">
        <f t="shared" si="10"/>
        <v>total_kva</v>
      </c>
    </row>
    <row r="321" spans="1:12" x14ac:dyDescent="0.25">
      <c r="A321" s="2">
        <v>312</v>
      </c>
      <c r="B321" s="3" t="s">
        <v>630</v>
      </c>
      <c r="C321" s="2" t="s">
        <v>631</v>
      </c>
      <c r="D321" s="2" t="s">
        <v>35</v>
      </c>
      <c r="E321" s="3" t="s">
        <v>1334</v>
      </c>
      <c r="G321" s="18"/>
      <c r="K321" s="7" t="str">
        <f t="shared" si="9"/>
        <v>Meter6</v>
      </c>
      <c r="L321" s="7" t="str">
        <f t="shared" si="10"/>
        <v>total_kvar</v>
      </c>
    </row>
    <row r="322" spans="1:12" x14ac:dyDescent="0.25">
      <c r="A322" s="2">
        <v>313</v>
      </c>
      <c r="B322" s="3" t="s">
        <v>632</v>
      </c>
      <c r="C322" s="2" t="s">
        <v>633</v>
      </c>
      <c r="D322" s="2" t="s">
        <v>35</v>
      </c>
      <c r="E322" s="3" t="s">
        <v>1335</v>
      </c>
      <c r="G322" s="18"/>
      <c r="K322" s="7" t="str">
        <f t="shared" si="9"/>
        <v>Meter6</v>
      </c>
      <c r="L322" s="7" t="str">
        <f t="shared" si="10"/>
        <v>PF1</v>
      </c>
    </row>
    <row r="323" spans="1:12" x14ac:dyDescent="0.25">
      <c r="A323" s="2">
        <v>314</v>
      </c>
      <c r="B323" s="3" t="s">
        <v>634</v>
      </c>
      <c r="C323" s="2" t="s">
        <v>635</v>
      </c>
      <c r="D323" s="2" t="s">
        <v>35</v>
      </c>
      <c r="E323" s="3" t="s">
        <v>1336</v>
      </c>
      <c r="G323" s="18"/>
      <c r="K323" s="7" t="str">
        <f t="shared" si="9"/>
        <v>Meter6</v>
      </c>
      <c r="L323" s="7" t="str">
        <f t="shared" si="10"/>
        <v>PF2</v>
      </c>
    </row>
    <row r="324" spans="1:12" x14ac:dyDescent="0.25">
      <c r="A324" s="2">
        <v>315</v>
      </c>
      <c r="B324" s="3" t="s">
        <v>636</v>
      </c>
      <c r="C324" s="2" t="s">
        <v>637</v>
      </c>
      <c r="D324" s="2" t="s">
        <v>35</v>
      </c>
      <c r="E324" s="3" t="s">
        <v>1337</v>
      </c>
      <c r="G324" s="18"/>
      <c r="K324" s="7" t="str">
        <f t="shared" si="9"/>
        <v>Meter6</v>
      </c>
      <c r="L324" s="7" t="str">
        <f t="shared" si="10"/>
        <v>PF3</v>
      </c>
    </row>
    <row r="325" spans="1:12" x14ac:dyDescent="0.25">
      <c r="A325" s="2">
        <v>316</v>
      </c>
      <c r="B325" s="3" t="s">
        <v>638</v>
      </c>
      <c r="C325" s="2" t="s">
        <v>639</v>
      </c>
      <c r="D325" s="2" t="s">
        <v>35</v>
      </c>
      <c r="E325" s="3" t="s">
        <v>1338</v>
      </c>
      <c r="G325" s="18"/>
      <c r="K325" s="7" t="str">
        <f t="shared" si="9"/>
        <v>Meter6</v>
      </c>
      <c r="L325" s="7" t="str">
        <f t="shared" si="10"/>
        <v>PF</v>
      </c>
    </row>
    <row r="326" spans="1:12" x14ac:dyDescent="0.25">
      <c r="A326" s="2">
        <v>317</v>
      </c>
      <c r="B326" s="3" t="s">
        <v>640</v>
      </c>
      <c r="C326" s="2" t="s">
        <v>641</v>
      </c>
      <c r="D326" s="2" t="s">
        <v>35</v>
      </c>
      <c r="E326" s="3" t="s">
        <v>1339</v>
      </c>
      <c r="G326" s="18"/>
      <c r="K326" s="7" t="str">
        <f t="shared" si="9"/>
        <v>Meter6</v>
      </c>
      <c r="L326" s="7" t="str">
        <f t="shared" si="10"/>
        <v>freq</v>
      </c>
    </row>
    <row r="327" spans="1:12" x14ac:dyDescent="0.25">
      <c r="A327" s="2">
        <v>318</v>
      </c>
      <c r="B327" s="3" t="s">
        <v>642</v>
      </c>
      <c r="C327" s="2" t="s">
        <v>643</v>
      </c>
      <c r="D327" s="2" t="s">
        <v>35</v>
      </c>
      <c r="E327" s="3" t="s">
        <v>1340</v>
      </c>
      <c r="G327" s="18"/>
      <c r="K327" s="7" t="str">
        <f t="shared" si="9"/>
        <v>Meter6</v>
      </c>
      <c r="L327" s="7" t="str">
        <f t="shared" si="10"/>
        <v>kwh</v>
      </c>
    </row>
    <row r="328" spans="1:12" x14ac:dyDescent="0.25">
      <c r="A328" s="2">
        <v>319</v>
      </c>
      <c r="B328" s="3" t="s">
        <v>644</v>
      </c>
      <c r="C328" s="2" t="s">
        <v>645</v>
      </c>
      <c r="D328" s="2" t="s">
        <v>35</v>
      </c>
      <c r="E328" s="3" t="s">
        <v>1341</v>
      </c>
      <c r="G328" s="18"/>
      <c r="K328" s="7" t="str">
        <f t="shared" si="9"/>
        <v>Meter6</v>
      </c>
      <c r="L328" s="7" t="str">
        <f t="shared" si="10"/>
        <v>kvah</v>
      </c>
    </row>
    <row r="329" spans="1:12" x14ac:dyDescent="0.25">
      <c r="A329" s="2">
        <v>320</v>
      </c>
      <c r="B329" s="3" t="s">
        <v>646</v>
      </c>
      <c r="C329" s="2" t="s">
        <v>647</v>
      </c>
      <c r="D329" s="2" t="s">
        <v>35</v>
      </c>
      <c r="E329" s="3" t="s">
        <v>1342</v>
      </c>
      <c r="G329" s="18"/>
      <c r="K329" s="7" t="str">
        <f t="shared" si="9"/>
        <v>Meter6</v>
      </c>
      <c r="L329" s="7" t="str">
        <f t="shared" si="10"/>
        <v>kvarh</v>
      </c>
    </row>
    <row r="330" spans="1:12" x14ac:dyDescent="0.25">
      <c r="A330" s="2">
        <v>321</v>
      </c>
      <c r="B330" s="3" t="s">
        <v>648</v>
      </c>
      <c r="C330" s="2" t="s">
        <v>649</v>
      </c>
      <c r="D330" s="2" t="s">
        <v>7</v>
      </c>
      <c r="E330" s="3" t="s">
        <v>1343</v>
      </c>
      <c r="G330" s="18"/>
      <c r="K330" s="7" t="str">
        <f t="shared" si="9"/>
        <v>Pump6</v>
      </c>
      <c r="L330" s="7" t="str">
        <f t="shared" si="10"/>
        <v>Ctrl_run_Pump</v>
      </c>
    </row>
    <row r="331" spans="1:12" x14ac:dyDescent="0.25">
      <c r="A331" s="2">
        <v>322</v>
      </c>
      <c r="B331" s="3" t="s">
        <v>650</v>
      </c>
      <c r="C331" s="2" t="s">
        <v>651</v>
      </c>
      <c r="D331" s="2" t="s">
        <v>7</v>
      </c>
      <c r="E331" s="3" t="s">
        <v>1354</v>
      </c>
      <c r="G331" s="18"/>
      <c r="H331" t="s">
        <v>1496</v>
      </c>
      <c r="K331" s="7" t="str">
        <f t="shared" ref="K331:K395" si="11">LEFT(B331, SEARCH("_",B331 ) - 1)</f>
        <v>Pump6</v>
      </c>
      <c r="L331" s="7" t="str">
        <f t="shared" si="10"/>
        <v>FB_Fault</v>
      </c>
    </row>
    <row r="332" spans="1:12" x14ac:dyDescent="0.25">
      <c r="A332" s="2">
        <v>323</v>
      </c>
      <c r="B332" s="3" t="s">
        <v>652</v>
      </c>
      <c r="C332" s="2" t="s">
        <v>653</v>
      </c>
      <c r="D332" s="2" t="s">
        <v>7</v>
      </c>
      <c r="E332" s="3" t="s">
        <v>1344</v>
      </c>
      <c r="G332" s="18"/>
      <c r="K332" s="7" t="str">
        <f t="shared" si="11"/>
        <v>Pump6</v>
      </c>
      <c r="L332" s="7" t="str">
        <f t="shared" si="10"/>
        <v>Ctrl_PB_Run</v>
      </c>
    </row>
    <row r="333" spans="1:12" x14ac:dyDescent="0.25">
      <c r="A333" s="2">
        <v>324</v>
      </c>
      <c r="B333" s="3" t="s">
        <v>654</v>
      </c>
      <c r="C333" s="2" t="s">
        <v>655</v>
      </c>
      <c r="D333" s="2" t="s">
        <v>7</v>
      </c>
      <c r="E333" s="3" t="s">
        <v>1345</v>
      </c>
      <c r="G333" s="18"/>
      <c r="K333" s="7" t="str">
        <f t="shared" si="11"/>
        <v>Pump6</v>
      </c>
      <c r="L333" s="7" t="str">
        <f t="shared" si="10"/>
        <v>Ctrl_PB_Stop</v>
      </c>
    </row>
    <row r="334" spans="1:12" x14ac:dyDescent="0.25">
      <c r="A334" s="2">
        <v>325</v>
      </c>
      <c r="B334" s="3" t="s">
        <v>656</v>
      </c>
      <c r="C334" s="2" t="s">
        <v>657</v>
      </c>
      <c r="D334" s="2" t="s">
        <v>7</v>
      </c>
      <c r="E334" s="3" t="s">
        <v>1346</v>
      </c>
      <c r="G334" s="18"/>
      <c r="K334" s="7" t="str">
        <f t="shared" si="11"/>
        <v>Pump6</v>
      </c>
      <c r="L334" s="7" t="str">
        <f t="shared" si="10"/>
        <v>Ctrl_PB_RST</v>
      </c>
    </row>
    <row r="335" spans="1:12" x14ac:dyDescent="0.25">
      <c r="A335" s="2">
        <v>326</v>
      </c>
      <c r="B335" s="3" t="s">
        <v>658</v>
      </c>
      <c r="C335" s="2" t="s">
        <v>659</v>
      </c>
      <c r="D335" s="2" t="s">
        <v>24</v>
      </c>
      <c r="E335" s="3" t="s">
        <v>1347</v>
      </c>
      <c r="G335" s="18"/>
      <c r="K335" s="7" t="str">
        <f t="shared" si="11"/>
        <v>Pump6</v>
      </c>
      <c r="L335" s="7" t="str">
        <f t="shared" si="10"/>
        <v>Time_Run_M</v>
      </c>
    </row>
    <row r="336" spans="1:12" x14ac:dyDescent="0.25">
      <c r="A336" s="2">
        <v>327</v>
      </c>
      <c r="B336" s="3" t="s">
        <v>660</v>
      </c>
      <c r="C336" s="2" t="s">
        <v>661</v>
      </c>
      <c r="D336" s="2" t="s">
        <v>24</v>
      </c>
      <c r="E336" s="3" t="s">
        <v>1348</v>
      </c>
      <c r="G336" s="18"/>
      <c r="K336" s="7" t="str">
        <f t="shared" si="11"/>
        <v>Pump6</v>
      </c>
      <c r="L336" s="7" t="str">
        <f t="shared" ref="L336:L400" si="12">RIGHT(B336, LEN(B336)-SEARCH("_",B336 ))</f>
        <v>Time_Run_H</v>
      </c>
    </row>
    <row r="337" spans="1:12" x14ac:dyDescent="0.25">
      <c r="A337" s="2">
        <v>328</v>
      </c>
      <c r="B337" s="3" t="s">
        <v>662</v>
      </c>
      <c r="C337" s="2" t="s">
        <v>663</v>
      </c>
      <c r="D337" s="2" t="s">
        <v>24</v>
      </c>
      <c r="E337" s="3" t="s">
        <v>1349</v>
      </c>
      <c r="G337" s="18"/>
      <c r="K337" s="7" t="str">
        <f t="shared" si="11"/>
        <v>Pump6</v>
      </c>
      <c r="L337" s="7" t="str">
        <f t="shared" si="12"/>
        <v>Total_Time_Run_M</v>
      </c>
    </row>
    <row r="338" spans="1:12" x14ac:dyDescent="0.25">
      <c r="A338" s="2">
        <v>329</v>
      </c>
      <c r="B338" s="3" t="s">
        <v>664</v>
      </c>
      <c r="C338" s="2" t="s">
        <v>665</v>
      </c>
      <c r="D338" s="2" t="s">
        <v>24</v>
      </c>
      <c r="E338" s="3" t="s">
        <v>1350</v>
      </c>
      <c r="G338" s="18"/>
      <c r="H338" t="s">
        <v>1407</v>
      </c>
      <c r="K338" s="7" t="str">
        <f t="shared" si="11"/>
        <v>Pump6</v>
      </c>
      <c r="L338" s="7" t="str">
        <f t="shared" si="12"/>
        <v>Total_Time_Run_H</v>
      </c>
    </row>
    <row r="339" spans="1:12" x14ac:dyDescent="0.25">
      <c r="A339" s="2">
        <v>330</v>
      </c>
      <c r="B339" s="3" t="s">
        <v>666</v>
      </c>
      <c r="C339" s="2" t="s">
        <v>667</v>
      </c>
      <c r="D339" s="2" t="s">
        <v>24</v>
      </c>
      <c r="E339" s="3" t="s">
        <v>1351</v>
      </c>
      <c r="G339" s="18"/>
      <c r="K339" s="7" t="str">
        <f t="shared" si="11"/>
        <v>Pump6</v>
      </c>
      <c r="L339" s="7" t="str">
        <f t="shared" si="12"/>
        <v>NumberOfclose</v>
      </c>
    </row>
    <row r="340" spans="1:12" x14ac:dyDescent="0.25">
      <c r="A340" s="2">
        <v>331</v>
      </c>
      <c r="B340" s="3" t="s">
        <v>668</v>
      </c>
      <c r="C340" s="2" t="s">
        <v>669</v>
      </c>
      <c r="D340" s="2" t="s">
        <v>7</v>
      </c>
      <c r="E340" s="3" t="s">
        <v>1355</v>
      </c>
      <c r="G340" s="18" t="s">
        <v>1501</v>
      </c>
      <c r="K340" s="7" t="str">
        <f t="shared" si="11"/>
        <v>Pump7</v>
      </c>
      <c r="L340" s="7" t="str">
        <f t="shared" si="12"/>
        <v>FB_auto</v>
      </c>
    </row>
    <row r="341" spans="1:12" x14ac:dyDescent="0.25">
      <c r="A341" s="2">
        <v>332</v>
      </c>
      <c r="B341" s="3" t="s">
        <v>670</v>
      </c>
      <c r="C341" s="2" t="s">
        <v>671</v>
      </c>
      <c r="D341" s="2" t="s">
        <v>7</v>
      </c>
      <c r="E341" s="3" t="s">
        <v>1306</v>
      </c>
      <c r="G341" s="18"/>
      <c r="H341" t="s">
        <v>1497</v>
      </c>
      <c r="K341" s="7" t="str">
        <f t="shared" si="11"/>
        <v>Pump7</v>
      </c>
      <c r="L341" s="7" t="str">
        <f t="shared" si="12"/>
        <v>FB_Run</v>
      </c>
    </row>
    <row r="342" spans="1:12" x14ac:dyDescent="0.25">
      <c r="A342" s="2">
        <v>333</v>
      </c>
      <c r="B342" s="3" t="s">
        <v>672</v>
      </c>
      <c r="C342" s="2" t="s">
        <v>673</v>
      </c>
      <c r="D342" s="2" t="s">
        <v>7</v>
      </c>
      <c r="E342" s="3" t="s">
        <v>1307</v>
      </c>
      <c r="G342" s="18"/>
      <c r="K342" s="7" t="str">
        <f t="shared" si="11"/>
        <v>Pump7</v>
      </c>
      <c r="L342" s="7" t="str">
        <f t="shared" si="12"/>
        <v>FB_Fault_V</v>
      </c>
    </row>
    <row r="343" spans="1:12" x14ac:dyDescent="0.25">
      <c r="A343" s="2">
        <v>334</v>
      </c>
      <c r="B343" s="3" t="s">
        <v>674</v>
      </c>
      <c r="C343" s="2" t="s">
        <v>675</v>
      </c>
      <c r="D343" s="2" t="s">
        <v>7</v>
      </c>
      <c r="E343" s="3" t="s">
        <v>1307</v>
      </c>
      <c r="G343" s="18"/>
      <c r="H343" t="s">
        <v>1499</v>
      </c>
      <c r="K343" s="7" t="str">
        <f t="shared" si="11"/>
        <v>Pump7</v>
      </c>
      <c r="L343" s="7" t="str">
        <f t="shared" si="12"/>
        <v>FB_Fault_SS</v>
      </c>
    </row>
    <row r="344" spans="1:12" x14ac:dyDescent="0.25">
      <c r="A344" s="2">
        <v>335</v>
      </c>
      <c r="B344" s="3" t="s">
        <v>676</v>
      </c>
      <c r="C344" s="2" t="s">
        <v>677</v>
      </c>
      <c r="D344" s="2" t="s">
        <v>7</v>
      </c>
      <c r="E344" s="3" t="s">
        <v>1356</v>
      </c>
      <c r="G344" s="18"/>
      <c r="K344" s="7" t="str">
        <f t="shared" si="11"/>
        <v>Pump7</v>
      </c>
      <c r="L344" s="7" t="str">
        <f t="shared" si="12"/>
        <v>FB_Fault_Temp</v>
      </c>
    </row>
    <row r="345" spans="1:12" x14ac:dyDescent="0.25">
      <c r="A345" s="2">
        <v>336</v>
      </c>
      <c r="B345" s="3" t="s">
        <v>678</v>
      </c>
      <c r="C345" s="2" t="s">
        <v>679</v>
      </c>
      <c r="D345" s="2" t="s">
        <v>7</v>
      </c>
      <c r="E345" s="3" t="s">
        <v>1307</v>
      </c>
      <c r="G345" s="18"/>
      <c r="K345" s="7" t="str">
        <f t="shared" si="11"/>
        <v>Pump7</v>
      </c>
      <c r="L345" s="7" t="str">
        <f t="shared" si="12"/>
        <v>FB_Fault_Curent</v>
      </c>
    </row>
    <row r="346" spans="1:12" x14ac:dyDescent="0.25">
      <c r="A346" s="2">
        <v>337</v>
      </c>
      <c r="B346" s="3" t="s">
        <v>680</v>
      </c>
      <c r="C346" s="2" t="s">
        <v>681</v>
      </c>
      <c r="D346" s="2" t="s">
        <v>7</v>
      </c>
      <c r="E346" s="3" t="s">
        <v>1357</v>
      </c>
      <c r="G346" s="18"/>
      <c r="K346" s="7" t="str">
        <f t="shared" si="11"/>
        <v>Pump7</v>
      </c>
      <c r="L346" s="7" t="str">
        <f t="shared" si="12"/>
        <v>Clock_1m</v>
      </c>
    </row>
    <row r="347" spans="1:12" x14ac:dyDescent="0.25">
      <c r="A347" s="2">
        <v>338</v>
      </c>
      <c r="B347" s="3" t="s">
        <v>682</v>
      </c>
      <c r="C347" s="2" t="s">
        <v>683</v>
      </c>
      <c r="D347" s="2" t="s">
        <v>7</v>
      </c>
      <c r="E347" s="3" t="s">
        <v>1358</v>
      </c>
      <c r="G347" s="18"/>
      <c r="H347" t="s">
        <v>1498</v>
      </c>
      <c r="K347" s="7" t="str">
        <f t="shared" si="11"/>
        <v>Pump7</v>
      </c>
      <c r="L347" s="7" t="str">
        <f t="shared" si="12"/>
        <v>FB_stop</v>
      </c>
    </row>
    <row r="348" spans="1:12" x14ac:dyDescent="0.25">
      <c r="A348" s="2">
        <v>8</v>
      </c>
      <c r="B348" s="12" t="s">
        <v>1439</v>
      </c>
      <c r="C348" s="2" t="s">
        <v>21</v>
      </c>
      <c r="D348" s="2" t="s">
        <v>7</v>
      </c>
      <c r="E348" s="3" t="s">
        <v>1393</v>
      </c>
      <c r="G348" s="18"/>
      <c r="H348" t="s">
        <v>1494</v>
      </c>
      <c r="K348" s="7" t="str">
        <f t="shared" si="11"/>
        <v>Pump7</v>
      </c>
      <c r="L348" s="7" t="str">
        <f t="shared" si="12"/>
        <v>FB_maintenance</v>
      </c>
    </row>
    <row r="349" spans="1:12" x14ac:dyDescent="0.25">
      <c r="A349" s="2">
        <v>339</v>
      </c>
      <c r="B349" s="3" t="s">
        <v>684</v>
      </c>
      <c r="C349" s="2" t="s">
        <v>685</v>
      </c>
      <c r="D349" s="2" t="s">
        <v>24</v>
      </c>
      <c r="E349" s="3" t="s">
        <v>1352</v>
      </c>
      <c r="G349" s="18"/>
      <c r="K349" s="7" t="str">
        <f t="shared" si="11"/>
        <v>Pump7</v>
      </c>
      <c r="L349" s="7" t="str">
        <f t="shared" si="12"/>
        <v>FB_Temp_DEBearing</v>
      </c>
    </row>
    <row r="350" spans="1:12" x14ac:dyDescent="0.25">
      <c r="A350" s="2">
        <v>340</v>
      </c>
      <c r="B350" s="3" t="s">
        <v>686</v>
      </c>
      <c r="C350" s="2" t="s">
        <v>687</v>
      </c>
      <c r="D350" s="2" t="s">
        <v>24</v>
      </c>
      <c r="E350" s="3" t="s">
        <v>1353</v>
      </c>
      <c r="G350" s="18"/>
      <c r="K350" s="7" t="str">
        <f t="shared" si="11"/>
        <v>Pump7</v>
      </c>
      <c r="L350" s="7" t="str">
        <f t="shared" si="12"/>
        <v>FB_Temp_NDEBearing</v>
      </c>
    </row>
    <row r="351" spans="1:12" x14ac:dyDescent="0.25">
      <c r="A351" s="2">
        <v>341</v>
      </c>
      <c r="B351" s="3" t="s">
        <v>688</v>
      </c>
      <c r="C351" s="2" t="s">
        <v>689</v>
      </c>
      <c r="D351" s="2" t="s">
        <v>24</v>
      </c>
      <c r="E351" s="3" t="s">
        <v>1308</v>
      </c>
      <c r="G351" s="18"/>
      <c r="K351" s="7" t="str">
        <f t="shared" si="11"/>
        <v>Pump7</v>
      </c>
      <c r="L351" s="7" t="str">
        <f t="shared" si="12"/>
        <v>FB_Temp_PhaseA</v>
      </c>
    </row>
    <row r="352" spans="1:12" x14ac:dyDescent="0.25">
      <c r="A352" s="2">
        <v>342</v>
      </c>
      <c r="B352" s="3" t="s">
        <v>690</v>
      </c>
      <c r="C352" s="2" t="s">
        <v>691</v>
      </c>
      <c r="D352" s="2" t="s">
        <v>24</v>
      </c>
      <c r="E352" s="3" t="s">
        <v>1309</v>
      </c>
      <c r="G352" s="18"/>
      <c r="K352" s="7" t="str">
        <f t="shared" si="11"/>
        <v>Pump7</v>
      </c>
      <c r="L352" s="7" t="str">
        <f t="shared" si="12"/>
        <v>FB_Temp_PhaseB</v>
      </c>
    </row>
    <row r="353" spans="1:12" x14ac:dyDescent="0.25">
      <c r="A353" s="2">
        <v>343</v>
      </c>
      <c r="B353" s="3" t="s">
        <v>692</v>
      </c>
      <c r="C353" s="2" t="s">
        <v>693</v>
      </c>
      <c r="D353" s="2" t="s">
        <v>24</v>
      </c>
      <c r="E353" s="3" t="s">
        <v>1310</v>
      </c>
      <c r="G353" s="18"/>
      <c r="K353" s="7" t="str">
        <f t="shared" si="11"/>
        <v>Pump7</v>
      </c>
      <c r="L353" s="7" t="str">
        <f t="shared" si="12"/>
        <v>FB_Temp_PhaseC</v>
      </c>
    </row>
    <row r="354" spans="1:12" x14ac:dyDescent="0.25">
      <c r="A354" s="2">
        <v>344</v>
      </c>
      <c r="B354" s="3" t="s">
        <v>694</v>
      </c>
      <c r="C354" s="2" t="s">
        <v>695</v>
      </c>
      <c r="D354" s="2" t="s">
        <v>35</v>
      </c>
      <c r="E354" s="3" t="s">
        <v>1315</v>
      </c>
      <c r="G354" s="18"/>
      <c r="K354" s="7" t="str">
        <f t="shared" si="11"/>
        <v>Meter7</v>
      </c>
      <c r="L354" s="7" t="str">
        <f t="shared" si="12"/>
        <v>U1</v>
      </c>
    </row>
    <row r="355" spans="1:12" x14ac:dyDescent="0.25">
      <c r="A355" s="2">
        <v>345</v>
      </c>
      <c r="B355" s="3" t="s">
        <v>696</v>
      </c>
      <c r="C355" s="2" t="s">
        <v>697</v>
      </c>
      <c r="D355" s="2" t="s">
        <v>35</v>
      </c>
      <c r="E355" s="3" t="s">
        <v>1316</v>
      </c>
      <c r="G355" s="18"/>
      <c r="K355" s="7" t="str">
        <f t="shared" si="11"/>
        <v>Meter7</v>
      </c>
      <c r="L355" s="7" t="str">
        <f t="shared" si="12"/>
        <v>U2</v>
      </c>
    </row>
    <row r="356" spans="1:12" x14ac:dyDescent="0.25">
      <c r="A356" s="2">
        <v>346</v>
      </c>
      <c r="B356" s="3" t="s">
        <v>698</v>
      </c>
      <c r="C356" s="2" t="s">
        <v>699</v>
      </c>
      <c r="D356" s="2" t="s">
        <v>35</v>
      </c>
      <c r="E356" s="3" t="s">
        <v>1317</v>
      </c>
      <c r="G356" s="18"/>
      <c r="K356" s="7" t="str">
        <f t="shared" si="11"/>
        <v>Meter7</v>
      </c>
      <c r="L356" s="7" t="str">
        <f t="shared" si="12"/>
        <v>U3</v>
      </c>
    </row>
    <row r="357" spans="1:12" x14ac:dyDescent="0.25">
      <c r="A357" s="2">
        <v>347</v>
      </c>
      <c r="B357" s="3" t="s">
        <v>700</v>
      </c>
      <c r="C357" s="2" t="s">
        <v>701</v>
      </c>
      <c r="D357" s="2" t="s">
        <v>35</v>
      </c>
      <c r="E357" s="3" t="s">
        <v>1318</v>
      </c>
      <c r="G357" s="18"/>
      <c r="K357" s="7" t="str">
        <f t="shared" si="11"/>
        <v>Meter7</v>
      </c>
      <c r="L357" s="7" t="str">
        <f t="shared" si="12"/>
        <v>U_Ph</v>
      </c>
    </row>
    <row r="358" spans="1:12" x14ac:dyDescent="0.25">
      <c r="A358" s="2">
        <v>348</v>
      </c>
      <c r="B358" s="3" t="s">
        <v>702</v>
      </c>
      <c r="C358" s="2" t="s">
        <v>703</v>
      </c>
      <c r="D358" s="2" t="s">
        <v>35</v>
      </c>
      <c r="E358" s="3" t="s">
        <v>1319</v>
      </c>
      <c r="G358" s="18"/>
      <c r="H358" t="s">
        <v>1486</v>
      </c>
      <c r="K358" s="7" t="str">
        <f t="shared" si="11"/>
        <v>Meter7</v>
      </c>
      <c r="L358" s="7" t="str">
        <f t="shared" si="12"/>
        <v>U12</v>
      </c>
    </row>
    <row r="359" spans="1:12" x14ac:dyDescent="0.25">
      <c r="A359" s="2">
        <v>349</v>
      </c>
      <c r="B359" s="3" t="s">
        <v>704</v>
      </c>
      <c r="C359" s="2" t="s">
        <v>705</v>
      </c>
      <c r="D359" s="2" t="s">
        <v>35</v>
      </c>
      <c r="E359" s="3" t="s">
        <v>1320</v>
      </c>
      <c r="G359" s="18"/>
      <c r="H359" t="s">
        <v>1487</v>
      </c>
      <c r="K359" s="7" t="str">
        <f t="shared" si="11"/>
        <v>Meter7</v>
      </c>
      <c r="L359" s="7" t="str">
        <f t="shared" si="12"/>
        <v>U23</v>
      </c>
    </row>
    <row r="360" spans="1:12" x14ac:dyDescent="0.25">
      <c r="A360" s="2">
        <v>350</v>
      </c>
      <c r="B360" s="3" t="s">
        <v>706</v>
      </c>
      <c r="C360" s="2" t="s">
        <v>707</v>
      </c>
      <c r="D360" s="2" t="s">
        <v>35</v>
      </c>
      <c r="E360" s="3" t="s">
        <v>1321</v>
      </c>
      <c r="G360" s="18"/>
      <c r="H360" t="s">
        <v>1488</v>
      </c>
      <c r="K360" s="7" t="str">
        <f t="shared" si="11"/>
        <v>Meter7</v>
      </c>
      <c r="L360" s="7" t="str">
        <f t="shared" si="12"/>
        <v>U31</v>
      </c>
    </row>
    <row r="361" spans="1:12" x14ac:dyDescent="0.25">
      <c r="A361" s="2">
        <v>351</v>
      </c>
      <c r="B361" s="3" t="s">
        <v>708</v>
      </c>
      <c r="C361" s="2" t="s">
        <v>709</v>
      </c>
      <c r="D361" s="2" t="s">
        <v>35</v>
      </c>
      <c r="E361" s="3" t="s">
        <v>1322</v>
      </c>
      <c r="G361" s="18"/>
      <c r="K361" s="7" t="str">
        <f t="shared" si="11"/>
        <v>Meter7</v>
      </c>
      <c r="L361" s="7" t="str">
        <f t="shared" si="12"/>
        <v>Uline</v>
      </c>
    </row>
    <row r="362" spans="1:12" x14ac:dyDescent="0.25">
      <c r="A362" s="2">
        <v>352</v>
      </c>
      <c r="B362" s="3" t="s">
        <v>710</v>
      </c>
      <c r="C362" s="2" t="s">
        <v>711</v>
      </c>
      <c r="D362" s="2" t="s">
        <v>35</v>
      </c>
      <c r="E362" s="3" t="s">
        <v>1312</v>
      </c>
      <c r="G362" s="18"/>
      <c r="H362" s="7" t="s">
        <v>1483</v>
      </c>
      <c r="K362" s="7" t="str">
        <f t="shared" si="11"/>
        <v>Meter7</v>
      </c>
      <c r="L362" s="7" t="str">
        <f t="shared" si="12"/>
        <v>I1</v>
      </c>
    </row>
    <row r="363" spans="1:12" x14ac:dyDescent="0.25">
      <c r="A363" s="2">
        <v>353</v>
      </c>
      <c r="B363" s="3" t="s">
        <v>712</v>
      </c>
      <c r="C363" s="2" t="s">
        <v>713</v>
      </c>
      <c r="D363" s="2" t="s">
        <v>35</v>
      </c>
      <c r="E363" s="3" t="s">
        <v>1313</v>
      </c>
      <c r="G363" s="18"/>
      <c r="H363" s="7" t="s">
        <v>1484</v>
      </c>
      <c r="K363" s="7" t="str">
        <f t="shared" si="11"/>
        <v>Meter7</v>
      </c>
      <c r="L363" s="7" t="str">
        <f t="shared" si="12"/>
        <v>I2</v>
      </c>
    </row>
    <row r="364" spans="1:12" x14ac:dyDescent="0.25">
      <c r="A364" s="2">
        <v>354</v>
      </c>
      <c r="B364" s="3" t="s">
        <v>714</v>
      </c>
      <c r="C364" s="2" t="s">
        <v>715</v>
      </c>
      <c r="D364" s="2" t="s">
        <v>35</v>
      </c>
      <c r="E364" s="3" t="s">
        <v>1314</v>
      </c>
      <c r="G364" s="18"/>
      <c r="H364" s="7" t="s">
        <v>1485</v>
      </c>
      <c r="K364" s="7" t="str">
        <f t="shared" si="11"/>
        <v>Meter7</v>
      </c>
      <c r="L364" s="7" t="str">
        <f t="shared" si="12"/>
        <v>I3</v>
      </c>
    </row>
    <row r="365" spans="1:12" x14ac:dyDescent="0.25">
      <c r="A365" s="2">
        <v>355</v>
      </c>
      <c r="B365" s="3" t="s">
        <v>716</v>
      </c>
      <c r="C365" s="2" t="s">
        <v>717</v>
      </c>
      <c r="D365" s="2" t="s">
        <v>35</v>
      </c>
      <c r="E365" s="3" t="s">
        <v>1311</v>
      </c>
      <c r="G365" s="18"/>
      <c r="H365" s="3" t="s">
        <v>1311</v>
      </c>
      <c r="K365" s="7" t="str">
        <f t="shared" si="11"/>
        <v>Meter7</v>
      </c>
      <c r="L365" s="7" t="str">
        <f t="shared" si="12"/>
        <v>I_ph</v>
      </c>
    </row>
    <row r="366" spans="1:12" x14ac:dyDescent="0.25">
      <c r="A366" s="2">
        <v>356</v>
      </c>
      <c r="B366" s="3" t="s">
        <v>718</v>
      </c>
      <c r="C366" s="2" t="s">
        <v>719</v>
      </c>
      <c r="D366" s="2" t="s">
        <v>35</v>
      </c>
      <c r="E366" s="3" t="s">
        <v>1323</v>
      </c>
      <c r="G366" s="18"/>
      <c r="K366" s="7" t="str">
        <f t="shared" si="11"/>
        <v>Meter7</v>
      </c>
      <c r="L366" s="7" t="str">
        <f t="shared" si="12"/>
        <v>kw1</v>
      </c>
    </row>
    <row r="367" spans="1:12" x14ac:dyDescent="0.25">
      <c r="A367" s="2">
        <v>357</v>
      </c>
      <c r="B367" s="3" t="s">
        <v>720</v>
      </c>
      <c r="C367" s="2" t="s">
        <v>721</v>
      </c>
      <c r="D367" s="2" t="s">
        <v>35</v>
      </c>
      <c r="E367" s="3" t="s">
        <v>1324</v>
      </c>
      <c r="G367" s="18"/>
      <c r="K367" s="7" t="str">
        <f t="shared" si="11"/>
        <v>Meter7</v>
      </c>
      <c r="L367" s="7" t="str">
        <f t="shared" si="12"/>
        <v>kw2</v>
      </c>
    </row>
    <row r="368" spans="1:12" x14ac:dyDescent="0.25">
      <c r="A368" s="2">
        <v>358</v>
      </c>
      <c r="B368" s="3" t="s">
        <v>722</v>
      </c>
      <c r="C368" s="2" t="s">
        <v>723</v>
      </c>
      <c r="D368" s="2" t="s">
        <v>35</v>
      </c>
      <c r="E368" s="3" t="s">
        <v>1325</v>
      </c>
      <c r="G368" s="18"/>
      <c r="K368" s="7" t="str">
        <f t="shared" si="11"/>
        <v>Meter7</v>
      </c>
      <c r="L368" s="7" t="str">
        <f t="shared" si="12"/>
        <v>kw3</v>
      </c>
    </row>
    <row r="369" spans="1:12" x14ac:dyDescent="0.25">
      <c r="A369" s="2">
        <v>359</v>
      </c>
      <c r="B369" s="3" t="s">
        <v>724</v>
      </c>
      <c r="C369" s="2" t="s">
        <v>725</v>
      </c>
      <c r="D369" s="2" t="s">
        <v>35</v>
      </c>
      <c r="E369" s="3" t="s">
        <v>1326</v>
      </c>
      <c r="G369" s="18"/>
      <c r="K369" s="7" t="str">
        <f t="shared" si="11"/>
        <v>Meter7</v>
      </c>
      <c r="L369" s="7" t="str">
        <f t="shared" si="12"/>
        <v>kva1</v>
      </c>
    </row>
    <row r="370" spans="1:12" x14ac:dyDescent="0.25">
      <c r="A370" s="2">
        <v>360</v>
      </c>
      <c r="B370" s="3" t="s">
        <v>726</v>
      </c>
      <c r="C370" s="2" t="s">
        <v>727</v>
      </c>
      <c r="D370" s="2" t="s">
        <v>35</v>
      </c>
      <c r="E370" s="3" t="s">
        <v>1327</v>
      </c>
      <c r="G370" s="18"/>
      <c r="K370" s="7" t="str">
        <f t="shared" si="11"/>
        <v>Meter7</v>
      </c>
      <c r="L370" s="7" t="str">
        <f t="shared" si="12"/>
        <v>kva2</v>
      </c>
    </row>
    <row r="371" spans="1:12" x14ac:dyDescent="0.25">
      <c r="A371" s="2">
        <v>361</v>
      </c>
      <c r="B371" s="3" t="s">
        <v>728</v>
      </c>
      <c r="C371" s="2" t="s">
        <v>729</v>
      </c>
      <c r="D371" s="2" t="s">
        <v>35</v>
      </c>
      <c r="E371" s="3" t="s">
        <v>1328</v>
      </c>
      <c r="G371" s="18"/>
      <c r="K371" s="7" t="str">
        <f t="shared" si="11"/>
        <v>Meter7</v>
      </c>
      <c r="L371" s="7" t="str">
        <f t="shared" si="12"/>
        <v>kva3</v>
      </c>
    </row>
    <row r="372" spans="1:12" x14ac:dyDescent="0.25">
      <c r="A372" s="2">
        <v>362</v>
      </c>
      <c r="B372" s="3" t="s">
        <v>730</v>
      </c>
      <c r="C372" s="2" t="s">
        <v>731</v>
      </c>
      <c r="D372" s="2" t="s">
        <v>35</v>
      </c>
      <c r="E372" s="3" t="s">
        <v>1329</v>
      </c>
      <c r="G372" s="18"/>
      <c r="K372" s="7" t="str">
        <f t="shared" si="11"/>
        <v>Meter7</v>
      </c>
      <c r="L372" s="7" t="str">
        <f t="shared" si="12"/>
        <v>kvar1</v>
      </c>
    </row>
    <row r="373" spans="1:12" x14ac:dyDescent="0.25">
      <c r="A373" s="2">
        <v>363</v>
      </c>
      <c r="B373" s="3" t="s">
        <v>732</v>
      </c>
      <c r="C373" s="2" t="s">
        <v>733</v>
      </c>
      <c r="D373" s="2" t="s">
        <v>35</v>
      </c>
      <c r="E373" s="3" t="s">
        <v>1330</v>
      </c>
      <c r="G373" s="18"/>
      <c r="K373" s="7" t="str">
        <f t="shared" si="11"/>
        <v>Meter7</v>
      </c>
      <c r="L373" s="7" t="str">
        <f t="shared" si="12"/>
        <v>kvar2</v>
      </c>
    </row>
    <row r="374" spans="1:12" x14ac:dyDescent="0.25">
      <c r="A374" s="2">
        <v>364</v>
      </c>
      <c r="B374" s="3" t="s">
        <v>734</v>
      </c>
      <c r="C374" s="2" t="s">
        <v>735</v>
      </c>
      <c r="D374" s="2" t="s">
        <v>35</v>
      </c>
      <c r="E374" s="3" t="s">
        <v>1331</v>
      </c>
      <c r="G374" s="18"/>
      <c r="K374" s="7" t="str">
        <f t="shared" si="11"/>
        <v>Meter7</v>
      </c>
      <c r="L374" s="7" t="str">
        <f t="shared" si="12"/>
        <v>kvar3</v>
      </c>
    </row>
    <row r="375" spans="1:12" x14ac:dyDescent="0.25">
      <c r="A375" s="2">
        <v>365</v>
      </c>
      <c r="B375" s="3" t="s">
        <v>736</v>
      </c>
      <c r="C375" s="2" t="s">
        <v>737</v>
      </c>
      <c r="D375" s="2" t="s">
        <v>35</v>
      </c>
      <c r="E375" s="3" t="s">
        <v>1332</v>
      </c>
      <c r="G375" s="18"/>
      <c r="K375" s="7" t="str">
        <f t="shared" si="11"/>
        <v>Meter7</v>
      </c>
      <c r="L375" s="7" t="str">
        <f t="shared" si="12"/>
        <v>total_kw</v>
      </c>
    </row>
    <row r="376" spans="1:12" x14ac:dyDescent="0.25">
      <c r="A376" s="2">
        <v>366</v>
      </c>
      <c r="B376" s="3" t="s">
        <v>738</v>
      </c>
      <c r="C376" s="2" t="s">
        <v>739</v>
      </c>
      <c r="D376" s="2" t="s">
        <v>35</v>
      </c>
      <c r="E376" s="3" t="s">
        <v>1333</v>
      </c>
      <c r="G376" s="18"/>
      <c r="K376" s="7" t="str">
        <f t="shared" si="11"/>
        <v>Meter7</v>
      </c>
      <c r="L376" s="7" t="str">
        <f t="shared" si="12"/>
        <v>total_kva</v>
      </c>
    </row>
    <row r="377" spans="1:12" x14ac:dyDescent="0.25">
      <c r="A377" s="2">
        <v>367</v>
      </c>
      <c r="B377" s="3" t="s">
        <v>740</v>
      </c>
      <c r="C377" s="2" t="s">
        <v>741</v>
      </c>
      <c r="D377" s="2" t="s">
        <v>35</v>
      </c>
      <c r="E377" s="3" t="s">
        <v>1334</v>
      </c>
      <c r="G377" s="18"/>
      <c r="K377" s="7" t="str">
        <f t="shared" si="11"/>
        <v>Meter7</v>
      </c>
      <c r="L377" s="7" t="str">
        <f t="shared" si="12"/>
        <v>total_kvar</v>
      </c>
    </row>
    <row r="378" spans="1:12" x14ac:dyDescent="0.25">
      <c r="A378" s="2">
        <v>368</v>
      </c>
      <c r="B378" s="3" t="s">
        <v>742</v>
      </c>
      <c r="C378" s="2" t="s">
        <v>743</v>
      </c>
      <c r="D378" s="2" t="s">
        <v>35</v>
      </c>
      <c r="E378" s="3" t="s">
        <v>1335</v>
      </c>
      <c r="G378" s="18"/>
      <c r="K378" s="7" t="str">
        <f t="shared" si="11"/>
        <v>Meter7</v>
      </c>
      <c r="L378" s="7" t="str">
        <f t="shared" si="12"/>
        <v>PF1</v>
      </c>
    </row>
    <row r="379" spans="1:12" x14ac:dyDescent="0.25">
      <c r="A379" s="2">
        <v>369</v>
      </c>
      <c r="B379" s="3" t="s">
        <v>744</v>
      </c>
      <c r="C379" s="2" t="s">
        <v>745</v>
      </c>
      <c r="D379" s="2" t="s">
        <v>35</v>
      </c>
      <c r="E379" s="3" t="s">
        <v>1336</v>
      </c>
      <c r="G379" s="18"/>
      <c r="K379" s="7" t="str">
        <f t="shared" si="11"/>
        <v>Meter7</v>
      </c>
      <c r="L379" s="7" t="str">
        <f t="shared" si="12"/>
        <v>PF2</v>
      </c>
    </row>
    <row r="380" spans="1:12" x14ac:dyDescent="0.25">
      <c r="A380" s="2">
        <v>370</v>
      </c>
      <c r="B380" s="3" t="s">
        <v>746</v>
      </c>
      <c r="C380" s="2" t="s">
        <v>747</v>
      </c>
      <c r="D380" s="2" t="s">
        <v>35</v>
      </c>
      <c r="E380" s="3" t="s">
        <v>1337</v>
      </c>
      <c r="G380" s="18"/>
      <c r="K380" s="7" t="str">
        <f t="shared" si="11"/>
        <v>Meter7</v>
      </c>
      <c r="L380" s="7" t="str">
        <f t="shared" si="12"/>
        <v>PF3</v>
      </c>
    </row>
    <row r="381" spans="1:12" x14ac:dyDescent="0.25">
      <c r="A381" s="2">
        <v>371</v>
      </c>
      <c r="B381" s="3" t="s">
        <v>748</v>
      </c>
      <c r="C381" s="2" t="s">
        <v>749</v>
      </c>
      <c r="D381" s="2" t="s">
        <v>35</v>
      </c>
      <c r="E381" s="3" t="s">
        <v>1338</v>
      </c>
      <c r="G381" s="18"/>
      <c r="K381" s="7" t="str">
        <f t="shared" si="11"/>
        <v>Meter7</v>
      </c>
      <c r="L381" s="7" t="str">
        <f t="shared" si="12"/>
        <v>PF</v>
      </c>
    </row>
    <row r="382" spans="1:12" x14ac:dyDescent="0.25">
      <c r="A382" s="2">
        <v>372</v>
      </c>
      <c r="B382" s="3" t="s">
        <v>750</v>
      </c>
      <c r="C382" s="2" t="s">
        <v>751</v>
      </c>
      <c r="D382" s="2" t="s">
        <v>35</v>
      </c>
      <c r="E382" s="3" t="s">
        <v>1339</v>
      </c>
      <c r="G382" s="18"/>
      <c r="K382" s="7" t="str">
        <f t="shared" si="11"/>
        <v>Meter7</v>
      </c>
      <c r="L382" s="7" t="str">
        <f t="shared" si="12"/>
        <v>freq</v>
      </c>
    </row>
    <row r="383" spans="1:12" x14ac:dyDescent="0.25">
      <c r="A383" s="2">
        <v>373</v>
      </c>
      <c r="B383" s="3" t="s">
        <v>752</v>
      </c>
      <c r="C383" s="2" t="s">
        <v>753</v>
      </c>
      <c r="D383" s="2" t="s">
        <v>35</v>
      </c>
      <c r="E383" s="3" t="s">
        <v>1340</v>
      </c>
      <c r="G383" s="18"/>
      <c r="K383" s="7" t="str">
        <f t="shared" si="11"/>
        <v>Meter7</v>
      </c>
      <c r="L383" s="7" t="str">
        <f t="shared" si="12"/>
        <v>kwh</v>
      </c>
    </row>
    <row r="384" spans="1:12" x14ac:dyDescent="0.25">
      <c r="A384" s="2">
        <v>374</v>
      </c>
      <c r="B384" s="3" t="s">
        <v>754</v>
      </c>
      <c r="C384" s="2" t="s">
        <v>755</v>
      </c>
      <c r="D384" s="2" t="s">
        <v>35</v>
      </c>
      <c r="E384" s="3" t="s">
        <v>1341</v>
      </c>
      <c r="G384" s="18"/>
      <c r="K384" s="7" t="str">
        <f t="shared" si="11"/>
        <v>Meter7</v>
      </c>
      <c r="L384" s="7" t="str">
        <f t="shared" si="12"/>
        <v>kvah</v>
      </c>
    </row>
    <row r="385" spans="1:12" x14ac:dyDescent="0.25">
      <c r="A385" s="2">
        <v>375</v>
      </c>
      <c r="B385" s="3" t="s">
        <v>756</v>
      </c>
      <c r="C385" s="2" t="s">
        <v>757</v>
      </c>
      <c r="D385" s="2" t="s">
        <v>35</v>
      </c>
      <c r="E385" s="3" t="s">
        <v>1342</v>
      </c>
      <c r="G385" s="18"/>
      <c r="K385" s="7" t="str">
        <f t="shared" si="11"/>
        <v>Meter7</v>
      </c>
      <c r="L385" s="7" t="str">
        <f t="shared" si="12"/>
        <v>kvarh</v>
      </c>
    </row>
    <row r="386" spans="1:12" x14ac:dyDescent="0.25">
      <c r="A386" s="2">
        <v>376</v>
      </c>
      <c r="B386" s="3" t="s">
        <v>758</v>
      </c>
      <c r="C386" s="2" t="s">
        <v>759</v>
      </c>
      <c r="D386" s="2" t="s">
        <v>7</v>
      </c>
      <c r="E386" s="3" t="s">
        <v>1343</v>
      </c>
      <c r="G386" s="18"/>
      <c r="K386" s="7" t="str">
        <f t="shared" si="11"/>
        <v>Pump7</v>
      </c>
      <c r="L386" s="7" t="str">
        <f t="shared" si="12"/>
        <v>Ctrl_run_Pump</v>
      </c>
    </row>
    <row r="387" spans="1:12" x14ac:dyDescent="0.25">
      <c r="A387" s="2">
        <v>377</v>
      </c>
      <c r="B387" s="3" t="s">
        <v>760</v>
      </c>
      <c r="C387" s="2" t="s">
        <v>761</v>
      </c>
      <c r="D387" s="2" t="s">
        <v>7</v>
      </c>
      <c r="E387" s="3" t="s">
        <v>1354</v>
      </c>
      <c r="G387" s="18"/>
      <c r="H387" t="s">
        <v>1496</v>
      </c>
      <c r="K387" s="7" t="str">
        <f t="shared" si="11"/>
        <v>Pump7</v>
      </c>
      <c r="L387" s="7" t="str">
        <f t="shared" si="12"/>
        <v>FB_Fault</v>
      </c>
    </row>
    <row r="388" spans="1:12" x14ac:dyDescent="0.25">
      <c r="A388" s="2">
        <v>378</v>
      </c>
      <c r="B388" s="3" t="s">
        <v>762</v>
      </c>
      <c r="C388" s="2" t="s">
        <v>763</v>
      </c>
      <c r="D388" s="2" t="s">
        <v>7</v>
      </c>
      <c r="E388" s="3" t="s">
        <v>1344</v>
      </c>
      <c r="G388" s="18"/>
      <c r="K388" s="7" t="str">
        <f t="shared" si="11"/>
        <v>Pump7</v>
      </c>
      <c r="L388" s="7" t="str">
        <f t="shared" si="12"/>
        <v>Ctrl_PB_Run</v>
      </c>
    </row>
    <row r="389" spans="1:12" x14ac:dyDescent="0.25">
      <c r="A389" s="2">
        <v>379</v>
      </c>
      <c r="B389" s="3" t="s">
        <v>764</v>
      </c>
      <c r="C389" s="2" t="s">
        <v>765</v>
      </c>
      <c r="D389" s="2" t="s">
        <v>7</v>
      </c>
      <c r="E389" s="3" t="s">
        <v>1345</v>
      </c>
      <c r="G389" s="18"/>
      <c r="K389" s="7" t="str">
        <f t="shared" si="11"/>
        <v>Pump7</v>
      </c>
      <c r="L389" s="7" t="str">
        <f t="shared" si="12"/>
        <v>Ctrl_PB_Stop</v>
      </c>
    </row>
    <row r="390" spans="1:12" x14ac:dyDescent="0.25">
      <c r="A390" s="2">
        <v>380</v>
      </c>
      <c r="B390" s="3" t="s">
        <v>766</v>
      </c>
      <c r="C390" s="2" t="s">
        <v>767</v>
      </c>
      <c r="D390" s="2" t="s">
        <v>7</v>
      </c>
      <c r="E390" s="3" t="s">
        <v>1346</v>
      </c>
      <c r="G390" s="18"/>
      <c r="K390" s="7" t="str">
        <f t="shared" si="11"/>
        <v>Pump7</v>
      </c>
      <c r="L390" s="7" t="str">
        <f t="shared" si="12"/>
        <v>Ctrl_PB_RST</v>
      </c>
    </row>
    <row r="391" spans="1:12" x14ac:dyDescent="0.25">
      <c r="A391" s="2">
        <v>381</v>
      </c>
      <c r="B391" s="3" t="s">
        <v>768</v>
      </c>
      <c r="C391" s="2" t="s">
        <v>769</v>
      </c>
      <c r="D391" s="2" t="s">
        <v>24</v>
      </c>
      <c r="E391" s="3" t="s">
        <v>1347</v>
      </c>
      <c r="G391" s="18"/>
      <c r="K391" s="7" t="str">
        <f t="shared" si="11"/>
        <v>Pump7</v>
      </c>
      <c r="L391" s="7" t="str">
        <f t="shared" si="12"/>
        <v>Time_Run_M</v>
      </c>
    </row>
    <row r="392" spans="1:12" x14ac:dyDescent="0.25">
      <c r="A392" s="2">
        <v>382</v>
      </c>
      <c r="B392" s="3" t="s">
        <v>770</v>
      </c>
      <c r="C392" s="2" t="s">
        <v>771</v>
      </c>
      <c r="D392" s="2" t="s">
        <v>24</v>
      </c>
      <c r="E392" s="3" t="s">
        <v>1348</v>
      </c>
      <c r="G392" s="18"/>
      <c r="K392" s="7" t="str">
        <f t="shared" si="11"/>
        <v>Pump7</v>
      </c>
      <c r="L392" s="7" t="str">
        <f t="shared" si="12"/>
        <v>Time_Run_H</v>
      </c>
    </row>
    <row r="393" spans="1:12" x14ac:dyDescent="0.25">
      <c r="A393" s="2">
        <v>383</v>
      </c>
      <c r="B393" s="3" t="s">
        <v>772</v>
      </c>
      <c r="C393" s="2" t="s">
        <v>773</v>
      </c>
      <c r="D393" s="2" t="s">
        <v>24</v>
      </c>
      <c r="E393" s="3" t="s">
        <v>1349</v>
      </c>
      <c r="G393" s="18"/>
      <c r="K393" s="7" t="str">
        <f t="shared" si="11"/>
        <v>Pump7</v>
      </c>
      <c r="L393" s="7" t="str">
        <f t="shared" si="12"/>
        <v>Total_Time_Run_M</v>
      </c>
    </row>
    <row r="394" spans="1:12" x14ac:dyDescent="0.25">
      <c r="A394" s="2">
        <v>384</v>
      </c>
      <c r="B394" s="3" t="s">
        <v>774</v>
      </c>
      <c r="C394" s="2" t="s">
        <v>775</v>
      </c>
      <c r="D394" s="2" t="s">
        <v>24</v>
      </c>
      <c r="E394" s="3" t="s">
        <v>1350</v>
      </c>
      <c r="G394" s="18"/>
      <c r="H394" t="s">
        <v>1407</v>
      </c>
      <c r="K394" s="7" t="str">
        <f t="shared" si="11"/>
        <v>Pump7</v>
      </c>
      <c r="L394" s="7" t="str">
        <f t="shared" si="12"/>
        <v>Total_Time_Run_H</v>
      </c>
    </row>
    <row r="395" spans="1:12" x14ac:dyDescent="0.25">
      <c r="A395" s="2">
        <v>385</v>
      </c>
      <c r="B395" s="3" t="s">
        <v>776</v>
      </c>
      <c r="C395" s="2" t="s">
        <v>777</v>
      </c>
      <c r="D395" s="2" t="s">
        <v>24</v>
      </c>
      <c r="E395" s="3" t="s">
        <v>1351</v>
      </c>
      <c r="G395" s="18"/>
      <c r="K395" s="7" t="str">
        <f t="shared" si="11"/>
        <v>Pump7</v>
      </c>
      <c r="L395" s="7" t="str">
        <f t="shared" si="12"/>
        <v>NumberOfclose</v>
      </c>
    </row>
    <row r="396" spans="1:12" x14ac:dyDescent="0.25">
      <c r="A396" s="2">
        <v>386</v>
      </c>
      <c r="B396" s="3" t="s">
        <v>778</v>
      </c>
      <c r="C396" s="2" t="s">
        <v>779</v>
      </c>
      <c r="D396" s="2" t="s">
        <v>7</v>
      </c>
      <c r="E396" s="3" t="s">
        <v>1355</v>
      </c>
      <c r="G396" s="18" t="s">
        <v>1502</v>
      </c>
      <c r="K396" s="7" t="str">
        <f t="shared" ref="K396:K461" si="13">LEFT(B396, SEARCH("_",B396 ) - 1)</f>
        <v>Pump8</v>
      </c>
      <c r="L396" s="7" t="str">
        <f t="shared" si="12"/>
        <v>FB_auto</v>
      </c>
    </row>
    <row r="397" spans="1:12" x14ac:dyDescent="0.25">
      <c r="A397" s="2">
        <v>387</v>
      </c>
      <c r="B397" s="3" t="s">
        <v>780</v>
      </c>
      <c r="C397" s="2" t="s">
        <v>781</v>
      </c>
      <c r="D397" s="2" t="s">
        <v>7</v>
      </c>
      <c r="E397" s="3" t="s">
        <v>1306</v>
      </c>
      <c r="G397" s="18"/>
      <c r="H397" t="s">
        <v>1497</v>
      </c>
      <c r="K397" s="7" t="str">
        <f t="shared" si="13"/>
        <v>Pump8</v>
      </c>
      <c r="L397" s="7" t="str">
        <f t="shared" si="12"/>
        <v>FB_Run</v>
      </c>
    </row>
    <row r="398" spans="1:12" x14ac:dyDescent="0.25">
      <c r="A398" s="2">
        <v>388</v>
      </c>
      <c r="B398" s="3" t="s">
        <v>782</v>
      </c>
      <c r="C398" s="2" t="s">
        <v>783</v>
      </c>
      <c r="D398" s="2" t="s">
        <v>7</v>
      </c>
      <c r="E398" s="3" t="s">
        <v>1307</v>
      </c>
      <c r="G398" s="18"/>
      <c r="K398" s="7" t="str">
        <f t="shared" si="13"/>
        <v>Pump8</v>
      </c>
      <c r="L398" s="7" t="str">
        <f t="shared" si="12"/>
        <v>FB_Fault_V</v>
      </c>
    </row>
    <row r="399" spans="1:12" x14ac:dyDescent="0.25">
      <c r="A399" s="2">
        <v>389</v>
      </c>
      <c r="B399" s="3" t="s">
        <v>784</v>
      </c>
      <c r="C399" s="2" t="s">
        <v>785</v>
      </c>
      <c r="D399" s="2" t="s">
        <v>7</v>
      </c>
      <c r="E399" s="3" t="s">
        <v>1307</v>
      </c>
      <c r="G399" s="18"/>
      <c r="H399" t="s">
        <v>1499</v>
      </c>
      <c r="K399" s="7" t="str">
        <f t="shared" si="13"/>
        <v>Pump8</v>
      </c>
      <c r="L399" s="7" t="str">
        <f t="shared" si="12"/>
        <v>FB_Fault_SS</v>
      </c>
    </row>
    <row r="400" spans="1:12" x14ac:dyDescent="0.25">
      <c r="A400" s="2">
        <v>390</v>
      </c>
      <c r="B400" s="3" t="s">
        <v>786</v>
      </c>
      <c r="C400" s="2" t="s">
        <v>787</v>
      </c>
      <c r="D400" s="2" t="s">
        <v>7</v>
      </c>
      <c r="E400" s="3" t="s">
        <v>1356</v>
      </c>
      <c r="G400" s="18"/>
      <c r="K400" s="7" t="str">
        <f t="shared" si="13"/>
        <v>Pump8</v>
      </c>
      <c r="L400" s="7" t="str">
        <f t="shared" si="12"/>
        <v>FB_Fault_Temp</v>
      </c>
    </row>
    <row r="401" spans="1:12" x14ac:dyDescent="0.25">
      <c r="A401" s="2">
        <v>391</v>
      </c>
      <c r="B401" s="3" t="s">
        <v>788</v>
      </c>
      <c r="C401" s="2" t="s">
        <v>789</v>
      </c>
      <c r="D401" s="2" t="s">
        <v>7</v>
      </c>
      <c r="E401" s="3" t="s">
        <v>1307</v>
      </c>
      <c r="G401" s="18"/>
      <c r="K401" s="7" t="str">
        <f t="shared" si="13"/>
        <v>Pump8</v>
      </c>
      <c r="L401" s="7" t="str">
        <f t="shared" ref="L401:L466" si="14">RIGHT(B401, LEN(B401)-SEARCH("_",B401 ))</f>
        <v>FB_Fault_Curent</v>
      </c>
    </row>
    <row r="402" spans="1:12" x14ac:dyDescent="0.25">
      <c r="A402" s="2">
        <v>392</v>
      </c>
      <c r="B402" s="3" t="s">
        <v>790</v>
      </c>
      <c r="C402" s="2" t="s">
        <v>791</v>
      </c>
      <c r="D402" s="2" t="s">
        <v>7</v>
      </c>
      <c r="E402" s="3" t="s">
        <v>1357</v>
      </c>
      <c r="G402" s="18"/>
      <c r="K402" s="7" t="str">
        <f t="shared" si="13"/>
        <v>Pump8</v>
      </c>
      <c r="L402" s="7" t="str">
        <f t="shared" si="14"/>
        <v>Clock_1m</v>
      </c>
    </row>
    <row r="403" spans="1:12" x14ac:dyDescent="0.25">
      <c r="A403" s="2">
        <v>393</v>
      </c>
      <c r="B403" s="3" t="s">
        <v>792</v>
      </c>
      <c r="C403" s="2" t="s">
        <v>793</v>
      </c>
      <c r="D403" s="2" t="s">
        <v>7</v>
      </c>
      <c r="E403" s="3" t="s">
        <v>1358</v>
      </c>
      <c r="G403" s="18"/>
      <c r="H403" t="s">
        <v>1498</v>
      </c>
      <c r="K403" s="7" t="str">
        <f t="shared" si="13"/>
        <v>Pump8</v>
      </c>
      <c r="L403" s="7" t="str">
        <f t="shared" si="14"/>
        <v>FB_stop</v>
      </c>
    </row>
    <row r="404" spans="1:12" x14ac:dyDescent="0.25">
      <c r="A404" s="2">
        <v>8</v>
      </c>
      <c r="B404" s="12" t="s">
        <v>1440</v>
      </c>
      <c r="C404" s="2" t="s">
        <v>21</v>
      </c>
      <c r="D404" s="2" t="s">
        <v>7</v>
      </c>
      <c r="E404" s="3" t="s">
        <v>1393</v>
      </c>
      <c r="G404" s="18"/>
      <c r="H404" t="s">
        <v>1494</v>
      </c>
      <c r="K404" s="7" t="str">
        <f t="shared" si="13"/>
        <v>Pump8</v>
      </c>
      <c r="L404" s="7" t="str">
        <f t="shared" si="14"/>
        <v>FB_maintenance</v>
      </c>
    </row>
    <row r="405" spans="1:12" x14ac:dyDescent="0.25">
      <c r="A405" s="2">
        <v>394</v>
      </c>
      <c r="B405" s="3" t="s">
        <v>794</v>
      </c>
      <c r="C405" s="2" t="s">
        <v>795</v>
      </c>
      <c r="D405" s="2" t="s">
        <v>24</v>
      </c>
      <c r="E405" s="3" t="s">
        <v>1352</v>
      </c>
      <c r="G405" s="18"/>
      <c r="K405" s="7" t="str">
        <f t="shared" si="13"/>
        <v>Pump8</v>
      </c>
      <c r="L405" s="7" t="str">
        <f t="shared" si="14"/>
        <v>FB_Temp_DEBearing</v>
      </c>
    </row>
    <row r="406" spans="1:12" x14ac:dyDescent="0.25">
      <c r="A406" s="2">
        <v>395</v>
      </c>
      <c r="B406" s="3" t="s">
        <v>796</v>
      </c>
      <c r="C406" s="2" t="s">
        <v>797</v>
      </c>
      <c r="D406" s="2" t="s">
        <v>24</v>
      </c>
      <c r="E406" s="3" t="s">
        <v>1353</v>
      </c>
      <c r="G406" s="18"/>
      <c r="K406" s="7" t="str">
        <f t="shared" si="13"/>
        <v>Pump8</v>
      </c>
      <c r="L406" s="7" t="str">
        <f t="shared" si="14"/>
        <v>FB_Temp_NDEBearing</v>
      </c>
    </row>
    <row r="407" spans="1:12" x14ac:dyDescent="0.25">
      <c r="A407" s="2">
        <v>396</v>
      </c>
      <c r="B407" s="3" t="s">
        <v>798</v>
      </c>
      <c r="C407" s="2" t="s">
        <v>799</v>
      </c>
      <c r="D407" s="2" t="s">
        <v>24</v>
      </c>
      <c r="E407" s="3" t="s">
        <v>1308</v>
      </c>
      <c r="G407" s="18"/>
      <c r="K407" s="7" t="str">
        <f t="shared" si="13"/>
        <v>Pump8</v>
      </c>
      <c r="L407" s="7" t="str">
        <f t="shared" si="14"/>
        <v>FB_Temp_PhaseA</v>
      </c>
    </row>
    <row r="408" spans="1:12" x14ac:dyDescent="0.25">
      <c r="A408" s="2">
        <v>397</v>
      </c>
      <c r="B408" s="3" t="s">
        <v>800</v>
      </c>
      <c r="C408" s="2" t="s">
        <v>801</v>
      </c>
      <c r="D408" s="2" t="s">
        <v>24</v>
      </c>
      <c r="E408" s="3" t="s">
        <v>1309</v>
      </c>
      <c r="G408" s="18"/>
      <c r="K408" s="7" t="str">
        <f t="shared" si="13"/>
        <v>Pump8</v>
      </c>
      <c r="L408" s="7" t="str">
        <f t="shared" si="14"/>
        <v>FB_Temp_PhaseB</v>
      </c>
    </row>
    <row r="409" spans="1:12" x14ac:dyDescent="0.25">
      <c r="A409" s="2">
        <v>398</v>
      </c>
      <c r="B409" s="3" t="s">
        <v>802</v>
      </c>
      <c r="C409" s="2" t="s">
        <v>803</v>
      </c>
      <c r="D409" s="2" t="s">
        <v>24</v>
      </c>
      <c r="E409" s="3" t="s">
        <v>1310</v>
      </c>
      <c r="G409" s="18"/>
      <c r="K409" s="7" t="str">
        <f t="shared" si="13"/>
        <v>Pump8</v>
      </c>
      <c r="L409" s="7" t="str">
        <f t="shared" si="14"/>
        <v>FB_Temp_PhaseC</v>
      </c>
    </row>
    <row r="410" spans="1:12" x14ac:dyDescent="0.25">
      <c r="A410" s="2">
        <v>399</v>
      </c>
      <c r="B410" s="3" t="s">
        <v>804</v>
      </c>
      <c r="C410" s="2" t="s">
        <v>805</v>
      </c>
      <c r="D410" s="2" t="s">
        <v>35</v>
      </c>
      <c r="E410" s="3" t="s">
        <v>1315</v>
      </c>
      <c r="G410" s="18"/>
      <c r="K410" s="7" t="str">
        <f t="shared" si="13"/>
        <v>Meter8</v>
      </c>
      <c r="L410" s="7" t="str">
        <f t="shared" si="14"/>
        <v>U1</v>
      </c>
    </row>
    <row r="411" spans="1:12" x14ac:dyDescent="0.25">
      <c r="A411" s="2">
        <v>400</v>
      </c>
      <c r="B411" s="3" t="s">
        <v>806</v>
      </c>
      <c r="C411" s="2" t="s">
        <v>807</v>
      </c>
      <c r="D411" s="2" t="s">
        <v>35</v>
      </c>
      <c r="E411" s="3" t="s">
        <v>1316</v>
      </c>
      <c r="G411" s="18"/>
      <c r="K411" s="7" t="str">
        <f t="shared" si="13"/>
        <v>Meter8</v>
      </c>
      <c r="L411" s="7" t="str">
        <f t="shared" si="14"/>
        <v>U2</v>
      </c>
    </row>
    <row r="412" spans="1:12" x14ac:dyDescent="0.25">
      <c r="A412" s="2">
        <v>401</v>
      </c>
      <c r="B412" s="3" t="s">
        <v>808</v>
      </c>
      <c r="C412" s="2" t="s">
        <v>809</v>
      </c>
      <c r="D412" s="2" t="s">
        <v>35</v>
      </c>
      <c r="E412" s="3" t="s">
        <v>1317</v>
      </c>
      <c r="G412" s="18"/>
      <c r="K412" s="7" t="str">
        <f t="shared" si="13"/>
        <v>Meter8</v>
      </c>
      <c r="L412" s="7" t="str">
        <f t="shared" si="14"/>
        <v>U3</v>
      </c>
    </row>
    <row r="413" spans="1:12" x14ac:dyDescent="0.25">
      <c r="A413" s="2">
        <v>402</v>
      </c>
      <c r="B413" s="3" t="s">
        <v>810</v>
      </c>
      <c r="C413" s="2" t="s">
        <v>811</v>
      </c>
      <c r="D413" s="2" t="s">
        <v>35</v>
      </c>
      <c r="E413" s="3" t="s">
        <v>1318</v>
      </c>
      <c r="G413" s="18"/>
      <c r="K413" s="7" t="str">
        <f t="shared" si="13"/>
        <v>Meter8</v>
      </c>
      <c r="L413" s="7" t="str">
        <f t="shared" si="14"/>
        <v>U_Ph</v>
      </c>
    </row>
    <row r="414" spans="1:12" x14ac:dyDescent="0.25">
      <c r="A414" s="2">
        <v>403</v>
      </c>
      <c r="B414" s="3" t="s">
        <v>812</v>
      </c>
      <c r="C414" s="2" t="s">
        <v>813</v>
      </c>
      <c r="D414" s="2" t="s">
        <v>35</v>
      </c>
      <c r="E414" s="3" t="s">
        <v>1319</v>
      </c>
      <c r="G414" s="18"/>
      <c r="H414" t="s">
        <v>1486</v>
      </c>
      <c r="K414" s="7" t="str">
        <f t="shared" si="13"/>
        <v>Meter8</v>
      </c>
      <c r="L414" s="7" t="str">
        <f t="shared" si="14"/>
        <v>U12</v>
      </c>
    </row>
    <row r="415" spans="1:12" x14ac:dyDescent="0.25">
      <c r="A415" s="2">
        <v>404</v>
      </c>
      <c r="B415" s="3" t="s">
        <v>814</v>
      </c>
      <c r="C415" s="2" t="s">
        <v>815</v>
      </c>
      <c r="D415" s="2" t="s">
        <v>35</v>
      </c>
      <c r="E415" s="3" t="s">
        <v>1320</v>
      </c>
      <c r="G415" s="18"/>
      <c r="H415" t="s">
        <v>1487</v>
      </c>
      <c r="K415" s="7" t="str">
        <f t="shared" si="13"/>
        <v>Meter8</v>
      </c>
      <c r="L415" s="7" t="str">
        <f t="shared" si="14"/>
        <v>U23</v>
      </c>
    </row>
    <row r="416" spans="1:12" x14ac:dyDescent="0.25">
      <c r="A416" s="2">
        <v>405</v>
      </c>
      <c r="B416" s="3" t="s">
        <v>816</v>
      </c>
      <c r="C416" s="2" t="s">
        <v>817</v>
      </c>
      <c r="D416" s="2" t="s">
        <v>35</v>
      </c>
      <c r="E416" s="3" t="s">
        <v>1321</v>
      </c>
      <c r="G416" s="18"/>
      <c r="H416" t="s">
        <v>1488</v>
      </c>
      <c r="K416" s="7" t="str">
        <f t="shared" si="13"/>
        <v>Meter8</v>
      </c>
      <c r="L416" s="7" t="str">
        <f t="shared" si="14"/>
        <v>U31</v>
      </c>
    </row>
    <row r="417" spans="1:12" x14ac:dyDescent="0.25">
      <c r="A417" s="2">
        <v>406</v>
      </c>
      <c r="B417" s="3" t="s">
        <v>818</v>
      </c>
      <c r="C417" s="2" t="s">
        <v>819</v>
      </c>
      <c r="D417" s="2" t="s">
        <v>35</v>
      </c>
      <c r="E417" s="3" t="s">
        <v>1322</v>
      </c>
      <c r="G417" s="18"/>
      <c r="K417" s="7" t="str">
        <f t="shared" si="13"/>
        <v>Meter8</v>
      </c>
      <c r="L417" s="7" t="str">
        <f t="shared" si="14"/>
        <v>Uline</v>
      </c>
    </row>
    <row r="418" spans="1:12" x14ac:dyDescent="0.25">
      <c r="A418" s="2">
        <v>407</v>
      </c>
      <c r="B418" s="3" t="s">
        <v>820</v>
      </c>
      <c r="C418" s="2" t="s">
        <v>821</v>
      </c>
      <c r="D418" s="2" t="s">
        <v>35</v>
      </c>
      <c r="E418" s="3" t="s">
        <v>1312</v>
      </c>
      <c r="G418" s="18"/>
      <c r="H418" s="7" t="s">
        <v>1483</v>
      </c>
      <c r="K418" s="7" t="str">
        <f t="shared" si="13"/>
        <v>Meter8</v>
      </c>
      <c r="L418" s="7" t="str">
        <f t="shared" si="14"/>
        <v>I1</v>
      </c>
    </row>
    <row r="419" spans="1:12" x14ac:dyDescent="0.25">
      <c r="A419" s="2">
        <v>408</v>
      </c>
      <c r="B419" s="3" t="s">
        <v>822</v>
      </c>
      <c r="C419" s="2" t="s">
        <v>823</v>
      </c>
      <c r="D419" s="2" t="s">
        <v>35</v>
      </c>
      <c r="E419" s="3" t="s">
        <v>1313</v>
      </c>
      <c r="G419" s="18"/>
      <c r="H419" s="7" t="s">
        <v>1484</v>
      </c>
      <c r="K419" s="7" t="str">
        <f t="shared" si="13"/>
        <v>Meter8</v>
      </c>
      <c r="L419" s="7" t="str">
        <f t="shared" si="14"/>
        <v>I2</v>
      </c>
    </row>
    <row r="420" spans="1:12" x14ac:dyDescent="0.25">
      <c r="A420" s="2">
        <v>409</v>
      </c>
      <c r="B420" s="3" t="s">
        <v>824</v>
      </c>
      <c r="C420" s="2" t="s">
        <v>825</v>
      </c>
      <c r="D420" s="2" t="s">
        <v>35</v>
      </c>
      <c r="E420" s="3" t="s">
        <v>1314</v>
      </c>
      <c r="G420" s="18"/>
      <c r="H420" s="7" t="s">
        <v>1485</v>
      </c>
      <c r="K420" s="7" t="str">
        <f t="shared" si="13"/>
        <v>Meter8</v>
      </c>
      <c r="L420" s="7" t="str">
        <f t="shared" si="14"/>
        <v>I3</v>
      </c>
    </row>
    <row r="421" spans="1:12" x14ac:dyDescent="0.25">
      <c r="A421" s="2">
        <v>410</v>
      </c>
      <c r="B421" s="3" t="s">
        <v>826</v>
      </c>
      <c r="C421" s="2" t="s">
        <v>827</v>
      </c>
      <c r="D421" s="2" t="s">
        <v>35</v>
      </c>
      <c r="E421" s="3" t="s">
        <v>1311</v>
      </c>
      <c r="G421" s="18"/>
      <c r="H421" s="3" t="s">
        <v>1311</v>
      </c>
      <c r="K421" s="7" t="str">
        <f t="shared" si="13"/>
        <v>Meter8</v>
      </c>
      <c r="L421" s="7" t="str">
        <f t="shared" si="14"/>
        <v>I_ph</v>
      </c>
    </row>
    <row r="422" spans="1:12" x14ac:dyDescent="0.25">
      <c r="A422" s="2">
        <v>411</v>
      </c>
      <c r="B422" s="3" t="s">
        <v>828</v>
      </c>
      <c r="C422" s="2" t="s">
        <v>829</v>
      </c>
      <c r="D422" s="2" t="s">
        <v>35</v>
      </c>
      <c r="E422" s="3" t="s">
        <v>1323</v>
      </c>
      <c r="G422" s="18"/>
      <c r="K422" s="7" t="str">
        <f t="shared" si="13"/>
        <v>Meter8</v>
      </c>
      <c r="L422" s="7" t="str">
        <f t="shared" si="14"/>
        <v>kw1</v>
      </c>
    </row>
    <row r="423" spans="1:12" x14ac:dyDescent="0.25">
      <c r="A423" s="2">
        <v>412</v>
      </c>
      <c r="B423" s="3" t="s">
        <v>830</v>
      </c>
      <c r="C423" s="2" t="s">
        <v>831</v>
      </c>
      <c r="D423" s="2" t="s">
        <v>35</v>
      </c>
      <c r="E423" s="3" t="s">
        <v>1324</v>
      </c>
      <c r="G423" s="18"/>
      <c r="K423" s="7" t="str">
        <f t="shared" si="13"/>
        <v>Meter8</v>
      </c>
      <c r="L423" s="7" t="str">
        <f t="shared" si="14"/>
        <v>kw2</v>
      </c>
    </row>
    <row r="424" spans="1:12" x14ac:dyDescent="0.25">
      <c r="A424" s="2">
        <v>413</v>
      </c>
      <c r="B424" s="3" t="s">
        <v>832</v>
      </c>
      <c r="C424" s="2" t="s">
        <v>833</v>
      </c>
      <c r="D424" s="2" t="s">
        <v>35</v>
      </c>
      <c r="E424" s="3" t="s">
        <v>1325</v>
      </c>
      <c r="G424" s="18"/>
      <c r="K424" s="7" t="str">
        <f t="shared" si="13"/>
        <v>Meter8</v>
      </c>
      <c r="L424" s="7" t="str">
        <f t="shared" si="14"/>
        <v>kw3</v>
      </c>
    </row>
    <row r="425" spans="1:12" x14ac:dyDescent="0.25">
      <c r="A425" s="2">
        <v>414</v>
      </c>
      <c r="B425" s="3" t="s">
        <v>834</v>
      </c>
      <c r="C425" s="2" t="s">
        <v>835</v>
      </c>
      <c r="D425" s="2" t="s">
        <v>35</v>
      </c>
      <c r="E425" s="3" t="s">
        <v>1326</v>
      </c>
      <c r="G425" s="18"/>
      <c r="K425" s="7" t="str">
        <f t="shared" si="13"/>
        <v>Meter8</v>
      </c>
      <c r="L425" s="7" t="str">
        <f t="shared" si="14"/>
        <v>kva1</v>
      </c>
    </row>
    <row r="426" spans="1:12" x14ac:dyDescent="0.25">
      <c r="A426" s="2">
        <v>415</v>
      </c>
      <c r="B426" s="3" t="s">
        <v>836</v>
      </c>
      <c r="C426" s="2" t="s">
        <v>837</v>
      </c>
      <c r="D426" s="2" t="s">
        <v>35</v>
      </c>
      <c r="E426" s="3" t="s">
        <v>1327</v>
      </c>
      <c r="G426" s="18"/>
      <c r="K426" s="7" t="str">
        <f t="shared" si="13"/>
        <v>Meter8</v>
      </c>
      <c r="L426" s="7" t="str">
        <f t="shared" si="14"/>
        <v>kva2</v>
      </c>
    </row>
    <row r="427" spans="1:12" x14ac:dyDescent="0.25">
      <c r="A427" s="2">
        <v>416</v>
      </c>
      <c r="B427" s="3" t="s">
        <v>838</v>
      </c>
      <c r="C427" s="2" t="s">
        <v>839</v>
      </c>
      <c r="D427" s="2" t="s">
        <v>35</v>
      </c>
      <c r="E427" s="3" t="s">
        <v>1328</v>
      </c>
      <c r="G427" s="18"/>
      <c r="K427" s="7" t="str">
        <f t="shared" si="13"/>
        <v>Meter8</v>
      </c>
      <c r="L427" s="7" t="str">
        <f t="shared" si="14"/>
        <v>kva3</v>
      </c>
    </row>
    <row r="428" spans="1:12" x14ac:dyDescent="0.25">
      <c r="A428" s="2">
        <v>417</v>
      </c>
      <c r="B428" s="3" t="s">
        <v>840</v>
      </c>
      <c r="C428" s="2" t="s">
        <v>841</v>
      </c>
      <c r="D428" s="2" t="s">
        <v>35</v>
      </c>
      <c r="E428" s="3" t="s">
        <v>1329</v>
      </c>
      <c r="G428" s="18"/>
      <c r="K428" s="7" t="str">
        <f t="shared" si="13"/>
        <v>Meter8</v>
      </c>
      <c r="L428" s="7" t="str">
        <f t="shared" si="14"/>
        <v>kvar1</v>
      </c>
    </row>
    <row r="429" spans="1:12" x14ac:dyDescent="0.25">
      <c r="A429" s="2">
        <v>418</v>
      </c>
      <c r="B429" s="3" t="s">
        <v>842</v>
      </c>
      <c r="C429" s="2" t="s">
        <v>843</v>
      </c>
      <c r="D429" s="2" t="s">
        <v>35</v>
      </c>
      <c r="E429" s="3" t="s">
        <v>1330</v>
      </c>
      <c r="G429" s="18"/>
      <c r="K429" s="7" t="str">
        <f t="shared" si="13"/>
        <v>Meter8</v>
      </c>
      <c r="L429" s="7" t="str">
        <f t="shared" si="14"/>
        <v>kvar2</v>
      </c>
    </row>
    <row r="430" spans="1:12" x14ac:dyDescent="0.25">
      <c r="A430" s="2">
        <v>419</v>
      </c>
      <c r="B430" s="3" t="s">
        <v>844</v>
      </c>
      <c r="C430" s="2" t="s">
        <v>845</v>
      </c>
      <c r="D430" s="2" t="s">
        <v>35</v>
      </c>
      <c r="E430" s="3" t="s">
        <v>1331</v>
      </c>
      <c r="G430" s="18"/>
      <c r="K430" s="7" t="str">
        <f t="shared" si="13"/>
        <v>Meter8</v>
      </c>
      <c r="L430" s="7" t="str">
        <f t="shared" si="14"/>
        <v>kvar3</v>
      </c>
    </row>
    <row r="431" spans="1:12" x14ac:dyDescent="0.25">
      <c r="A431" s="2">
        <v>420</v>
      </c>
      <c r="B431" s="3" t="s">
        <v>846</v>
      </c>
      <c r="C431" s="2" t="s">
        <v>847</v>
      </c>
      <c r="D431" s="2" t="s">
        <v>35</v>
      </c>
      <c r="E431" s="3" t="s">
        <v>1332</v>
      </c>
      <c r="G431" s="18"/>
      <c r="K431" s="7" t="str">
        <f t="shared" si="13"/>
        <v>Meter8</v>
      </c>
      <c r="L431" s="7" t="str">
        <f t="shared" si="14"/>
        <v>total_kw</v>
      </c>
    </row>
    <row r="432" spans="1:12" x14ac:dyDescent="0.25">
      <c r="A432" s="2">
        <v>421</v>
      </c>
      <c r="B432" s="3" t="s">
        <v>848</v>
      </c>
      <c r="C432" s="2" t="s">
        <v>849</v>
      </c>
      <c r="D432" s="2" t="s">
        <v>35</v>
      </c>
      <c r="E432" s="3" t="s">
        <v>1333</v>
      </c>
      <c r="G432" s="18"/>
      <c r="K432" s="7" t="str">
        <f t="shared" si="13"/>
        <v>Meter8</v>
      </c>
      <c r="L432" s="7" t="str">
        <f t="shared" si="14"/>
        <v>total_kva</v>
      </c>
    </row>
    <row r="433" spans="1:12" x14ac:dyDescent="0.25">
      <c r="A433" s="2">
        <v>422</v>
      </c>
      <c r="B433" s="3" t="s">
        <v>850</v>
      </c>
      <c r="C433" s="2" t="s">
        <v>851</v>
      </c>
      <c r="D433" s="2" t="s">
        <v>35</v>
      </c>
      <c r="E433" s="3" t="s">
        <v>1334</v>
      </c>
      <c r="G433" s="18"/>
      <c r="K433" s="7" t="str">
        <f t="shared" si="13"/>
        <v>Meter8</v>
      </c>
      <c r="L433" s="7" t="str">
        <f t="shared" si="14"/>
        <v>total_kvar</v>
      </c>
    </row>
    <row r="434" spans="1:12" x14ac:dyDescent="0.25">
      <c r="A434" s="2">
        <v>423</v>
      </c>
      <c r="B434" s="3" t="s">
        <v>852</v>
      </c>
      <c r="C434" s="2" t="s">
        <v>853</v>
      </c>
      <c r="D434" s="2" t="s">
        <v>35</v>
      </c>
      <c r="E434" s="3" t="s">
        <v>1335</v>
      </c>
      <c r="G434" s="18"/>
      <c r="K434" s="7" t="str">
        <f t="shared" si="13"/>
        <v>Meter8</v>
      </c>
      <c r="L434" s="7" t="str">
        <f t="shared" si="14"/>
        <v>PF1</v>
      </c>
    </row>
    <row r="435" spans="1:12" x14ac:dyDescent="0.25">
      <c r="A435" s="2">
        <v>424</v>
      </c>
      <c r="B435" s="3" t="s">
        <v>854</v>
      </c>
      <c r="C435" s="2" t="s">
        <v>855</v>
      </c>
      <c r="D435" s="2" t="s">
        <v>35</v>
      </c>
      <c r="E435" s="3" t="s">
        <v>1336</v>
      </c>
      <c r="G435" s="18"/>
      <c r="K435" s="7" t="str">
        <f t="shared" si="13"/>
        <v>Meter8</v>
      </c>
      <c r="L435" s="7" t="str">
        <f t="shared" si="14"/>
        <v>PF2</v>
      </c>
    </row>
    <row r="436" spans="1:12" x14ac:dyDescent="0.25">
      <c r="A436" s="2">
        <v>425</v>
      </c>
      <c r="B436" s="3" t="s">
        <v>856</v>
      </c>
      <c r="C436" s="2" t="s">
        <v>857</v>
      </c>
      <c r="D436" s="2" t="s">
        <v>35</v>
      </c>
      <c r="E436" s="3" t="s">
        <v>1337</v>
      </c>
      <c r="G436" s="18"/>
      <c r="K436" s="7" t="str">
        <f t="shared" si="13"/>
        <v>Meter8</v>
      </c>
      <c r="L436" s="7" t="str">
        <f t="shared" si="14"/>
        <v>PF3</v>
      </c>
    </row>
    <row r="437" spans="1:12" x14ac:dyDescent="0.25">
      <c r="A437" s="2">
        <v>426</v>
      </c>
      <c r="B437" s="3" t="s">
        <v>858</v>
      </c>
      <c r="C437" s="2" t="s">
        <v>859</v>
      </c>
      <c r="D437" s="2" t="s">
        <v>35</v>
      </c>
      <c r="E437" s="3" t="s">
        <v>1338</v>
      </c>
      <c r="G437" s="18"/>
      <c r="K437" s="7" t="str">
        <f t="shared" si="13"/>
        <v>Meter8</v>
      </c>
      <c r="L437" s="7" t="str">
        <f t="shared" si="14"/>
        <v>PF</v>
      </c>
    </row>
    <row r="438" spans="1:12" x14ac:dyDescent="0.25">
      <c r="A438" s="2">
        <v>427</v>
      </c>
      <c r="B438" s="3" t="s">
        <v>860</v>
      </c>
      <c r="C438" s="2" t="s">
        <v>861</v>
      </c>
      <c r="D438" s="2" t="s">
        <v>35</v>
      </c>
      <c r="E438" s="3" t="s">
        <v>1339</v>
      </c>
      <c r="G438" s="18"/>
      <c r="K438" s="7" t="str">
        <f t="shared" si="13"/>
        <v>Meter8</v>
      </c>
      <c r="L438" s="7" t="str">
        <f t="shared" si="14"/>
        <v>freq</v>
      </c>
    </row>
    <row r="439" spans="1:12" x14ac:dyDescent="0.25">
      <c r="A439" s="2">
        <v>428</v>
      </c>
      <c r="B439" s="3" t="s">
        <v>862</v>
      </c>
      <c r="C439" s="2" t="s">
        <v>863</v>
      </c>
      <c r="D439" s="2" t="s">
        <v>35</v>
      </c>
      <c r="E439" s="3" t="s">
        <v>1340</v>
      </c>
      <c r="G439" s="18"/>
      <c r="K439" s="7" t="str">
        <f t="shared" si="13"/>
        <v>Meter8</v>
      </c>
      <c r="L439" s="7" t="str">
        <f t="shared" si="14"/>
        <v>kwh</v>
      </c>
    </row>
    <row r="440" spans="1:12" x14ac:dyDescent="0.25">
      <c r="A440" s="2">
        <v>429</v>
      </c>
      <c r="B440" s="3" t="s">
        <v>864</v>
      </c>
      <c r="C440" s="2" t="s">
        <v>865</v>
      </c>
      <c r="D440" s="2" t="s">
        <v>35</v>
      </c>
      <c r="E440" s="3" t="s">
        <v>1341</v>
      </c>
      <c r="G440" s="18"/>
      <c r="K440" s="7" t="str">
        <f t="shared" si="13"/>
        <v>Meter8</v>
      </c>
      <c r="L440" s="7" t="str">
        <f t="shared" si="14"/>
        <v>kvah</v>
      </c>
    </row>
    <row r="441" spans="1:12" x14ac:dyDescent="0.25">
      <c r="A441" s="2">
        <v>430</v>
      </c>
      <c r="B441" s="3" t="s">
        <v>866</v>
      </c>
      <c r="C441" s="2" t="s">
        <v>867</v>
      </c>
      <c r="D441" s="2" t="s">
        <v>35</v>
      </c>
      <c r="E441" s="3" t="s">
        <v>1342</v>
      </c>
      <c r="G441" s="18"/>
      <c r="K441" s="7" t="str">
        <f t="shared" si="13"/>
        <v>Meter8</v>
      </c>
      <c r="L441" s="7" t="str">
        <f t="shared" si="14"/>
        <v>kvarh</v>
      </c>
    </row>
    <row r="442" spans="1:12" x14ac:dyDescent="0.25">
      <c r="A442" s="2">
        <v>431</v>
      </c>
      <c r="B442" s="3" t="s">
        <v>868</v>
      </c>
      <c r="C442" s="2" t="s">
        <v>869</v>
      </c>
      <c r="D442" s="2" t="s">
        <v>7</v>
      </c>
      <c r="E442" s="3" t="s">
        <v>1343</v>
      </c>
      <c r="G442" s="18"/>
      <c r="K442" s="7" t="str">
        <f t="shared" si="13"/>
        <v>Pump8</v>
      </c>
      <c r="L442" s="7" t="str">
        <f t="shared" si="14"/>
        <v>Ctrl_run_Pump</v>
      </c>
    </row>
    <row r="443" spans="1:12" x14ac:dyDescent="0.25">
      <c r="A443" s="2">
        <v>432</v>
      </c>
      <c r="B443" s="3" t="s">
        <v>870</v>
      </c>
      <c r="C443" s="2" t="s">
        <v>871</v>
      </c>
      <c r="D443" s="2" t="s">
        <v>7</v>
      </c>
      <c r="E443" s="3" t="s">
        <v>1354</v>
      </c>
      <c r="G443" s="18"/>
      <c r="H443" t="s">
        <v>1496</v>
      </c>
      <c r="K443" s="7" t="str">
        <f t="shared" si="13"/>
        <v>Pump8</v>
      </c>
      <c r="L443" s="7" t="str">
        <f t="shared" si="14"/>
        <v>FB_Fault</v>
      </c>
    </row>
    <row r="444" spans="1:12" x14ac:dyDescent="0.25">
      <c r="A444" s="2">
        <v>433</v>
      </c>
      <c r="B444" s="3" t="s">
        <v>872</v>
      </c>
      <c r="C444" s="2" t="s">
        <v>873</v>
      </c>
      <c r="D444" s="2" t="s">
        <v>7</v>
      </c>
      <c r="E444" s="3" t="s">
        <v>1344</v>
      </c>
      <c r="G444" s="18"/>
      <c r="K444" s="7" t="str">
        <f t="shared" si="13"/>
        <v>Pump8</v>
      </c>
      <c r="L444" s="7" t="str">
        <f t="shared" si="14"/>
        <v>Ctrl_PB_Run</v>
      </c>
    </row>
    <row r="445" spans="1:12" x14ac:dyDescent="0.25">
      <c r="A445" s="2">
        <v>434</v>
      </c>
      <c r="B445" s="3" t="s">
        <v>874</v>
      </c>
      <c r="C445" s="2" t="s">
        <v>875</v>
      </c>
      <c r="D445" s="2" t="s">
        <v>7</v>
      </c>
      <c r="E445" s="3" t="s">
        <v>1345</v>
      </c>
      <c r="G445" s="18"/>
      <c r="K445" s="7" t="str">
        <f t="shared" si="13"/>
        <v>Pump8</v>
      </c>
      <c r="L445" s="7" t="str">
        <f t="shared" si="14"/>
        <v>Ctrl_PB_Stop</v>
      </c>
    </row>
    <row r="446" spans="1:12" x14ac:dyDescent="0.25">
      <c r="A446" s="2">
        <v>435</v>
      </c>
      <c r="B446" s="3" t="s">
        <v>876</v>
      </c>
      <c r="C446" s="2" t="s">
        <v>877</v>
      </c>
      <c r="D446" s="2" t="s">
        <v>7</v>
      </c>
      <c r="E446" s="3" t="s">
        <v>1346</v>
      </c>
      <c r="G446" s="18"/>
      <c r="K446" s="7" t="str">
        <f t="shared" si="13"/>
        <v>Pump8</v>
      </c>
      <c r="L446" s="7" t="str">
        <f t="shared" si="14"/>
        <v>Ctrl_PB_RST</v>
      </c>
    </row>
    <row r="447" spans="1:12" x14ac:dyDescent="0.25">
      <c r="A447" s="2">
        <v>436</v>
      </c>
      <c r="B447" s="3" t="s">
        <v>878</v>
      </c>
      <c r="C447" s="2" t="s">
        <v>879</v>
      </c>
      <c r="D447" s="2" t="s">
        <v>24</v>
      </c>
      <c r="E447" s="3" t="s">
        <v>1347</v>
      </c>
      <c r="G447" s="18"/>
      <c r="K447" s="7" t="str">
        <f t="shared" si="13"/>
        <v>Pump8</v>
      </c>
      <c r="L447" s="7" t="str">
        <f t="shared" si="14"/>
        <v>Time_Run_M</v>
      </c>
    </row>
    <row r="448" spans="1:12" x14ac:dyDescent="0.25">
      <c r="A448" s="2">
        <v>437</v>
      </c>
      <c r="B448" s="3" t="s">
        <v>880</v>
      </c>
      <c r="C448" s="2" t="s">
        <v>881</v>
      </c>
      <c r="D448" s="2" t="s">
        <v>24</v>
      </c>
      <c r="E448" s="3" t="s">
        <v>1348</v>
      </c>
      <c r="G448" s="18"/>
      <c r="K448" s="7" t="str">
        <f t="shared" si="13"/>
        <v>Pump8</v>
      </c>
      <c r="L448" s="7" t="str">
        <f t="shared" si="14"/>
        <v>Time_Run_H</v>
      </c>
    </row>
    <row r="449" spans="1:12" x14ac:dyDescent="0.25">
      <c r="A449" s="2">
        <v>438</v>
      </c>
      <c r="B449" s="3" t="s">
        <v>882</v>
      </c>
      <c r="C449" s="2" t="s">
        <v>883</v>
      </c>
      <c r="D449" s="2" t="s">
        <v>24</v>
      </c>
      <c r="E449" s="3" t="s">
        <v>1349</v>
      </c>
      <c r="G449" s="18"/>
      <c r="K449" s="7" t="str">
        <f t="shared" si="13"/>
        <v>Pump8</v>
      </c>
      <c r="L449" s="7" t="str">
        <f t="shared" si="14"/>
        <v>Total_Time_Run_M</v>
      </c>
    </row>
    <row r="450" spans="1:12" x14ac:dyDescent="0.25">
      <c r="A450" s="2">
        <v>439</v>
      </c>
      <c r="B450" s="3" t="s">
        <v>884</v>
      </c>
      <c r="C450" s="2" t="s">
        <v>885</v>
      </c>
      <c r="D450" s="2" t="s">
        <v>24</v>
      </c>
      <c r="E450" s="3" t="s">
        <v>1350</v>
      </c>
      <c r="G450" s="18"/>
      <c r="H450" t="s">
        <v>1407</v>
      </c>
      <c r="K450" s="7" t="str">
        <f t="shared" si="13"/>
        <v>Pump8</v>
      </c>
      <c r="L450" s="7" t="str">
        <f t="shared" si="14"/>
        <v>Total_Time_Run_H</v>
      </c>
    </row>
    <row r="451" spans="1:12" x14ac:dyDescent="0.25">
      <c r="A451" s="2">
        <v>440</v>
      </c>
      <c r="B451" s="3" t="s">
        <v>886</v>
      </c>
      <c r="C451" s="2" t="s">
        <v>887</v>
      </c>
      <c r="D451" s="2" t="s">
        <v>24</v>
      </c>
      <c r="E451" s="3" t="s">
        <v>1351</v>
      </c>
      <c r="G451" s="18"/>
      <c r="K451" s="7" t="str">
        <f t="shared" si="13"/>
        <v>Pump8</v>
      </c>
      <c r="L451" s="7" t="str">
        <f t="shared" si="14"/>
        <v>NumberOfclose</v>
      </c>
    </row>
    <row r="452" spans="1:12" x14ac:dyDescent="0.25">
      <c r="A452" s="2">
        <v>441</v>
      </c>
      <c r="B452" s="3" t="s">
        <v>888</v>
      </c>
      <c r="C452" s="2" t="s">
        <v>889</v>
      </c>
      <c r="D452" s="2" t="s">
        <v>7</v>
      </c>
      <c r="E452" s="3" t="s">
        <v>1355</v>
      </c>
      <c r="G452" s="18" t="s">
        <v>1503</v>
      </c>
      <c r="K452" s="7" t="str">
        <f t="shared" si="13"/>
        <v>Pump9</v>
      </c>
      <c r="L452" s="7" t="str">
        <f t="shared" si="14"/>
        <v>FB_auto</v>
      </c>
    </row>
    <row r="453" spans="1:12" x14ac:dyDescent="0.25">
      <c r="A453" s="2">
        <v>442</v>
      </c>
      <c r="B453" s="3" t="s">
        <v>890</v>
      </c>
      <c r="C453" s="2" t="s">
        <v>891</v>
      </c>
      <c r="D453" s="2" t="s">
        <v>7</v>
      </c>
      <c r="E453" s="3" t="s">
        <v>1306</v>
      </c>
      <c r="G453" s="18"/>
      <c r="H453" t="s">
        <v>1497</v>
      </c>
      <c r="K453" s="7" t="str">
        <f t="shared" si="13"/>
        <v>Pump9</v>
      </c>
      <c r="L453" s="7" t="str">
        <f t="shared" si="14"/>
        <v>FB_Run</v>
      </c>
    </row>
    <row r="454" spans="1:12" x14ac:dyDescent="0.25">
      <c r="A454" s="2">
        <v>443</v>
      </c>
      <c r="B454" s="3" t="s">
        <v>892</v>
      </c>
      <c r="C454" s="2" t="s">
        <v>893</v>
      </c>
      <c r="D454" s="2" t="s">
        <v>7</v>
      </c>
      <c r="E454" s="3" t="s">
        <v>1307</v>
      </c>
      <c r="G454" s="18"/>
      <c r="K454" s="7" t="str">
        <f t="shared" si="13"/>
        <v>Pump9</v>
      </c>
      <c r="L454" s="7" t="str">
        <f t="shared" si="14"/>
        <v>FB_Fault_V</v>
      </c>
    </row>
    <row r="455" spans="1:12" x14ac:dyDescent="0.25">
      <c r="A455" s="2">
        <v>444</v>
      </c>
      <c r="B455" s="3" t="s">
        <v>894</v>
      </c>
      <c r="C455" s="2" t="s">
        <v>895</v>
      </c>
      <c r="D455" s="2" t="s">
        <v>7</v>
      </c>
      <c r="E455" s="3" t="s">
        <v>1307</v>
      </c>
      <c r="G455" s="18"/>
      <c r="H455" t="s">
        <v>1499</v>
      </c>
      <c r="K455" s="7" t="str">
        <f t="shared" si="13"/>
        <v>Pump9</v>
      </c>
      <c r="L455" s="7" t="str">
        <f t="shared" si="14"/>
        <v>FB_Fault_SS</v>
      </c>
    </row>
    <row r="456" spans="1:12" x14ac:dyDescent="0.25">
      <c r="A456" s="2">
        <v>445</v>
      </c>
      <c r="B456" s="3" t="s">
        <v>896</v>
      </c>
      <c r="C456" s="2" t="s">
        <v>897</v>
      </c>
      <c r="D456" s="2" t="s">
        <v>7</v>
      </c>
      <c r="E456" s="3" t="s">
        <v>1356</v>
      </c>
      <c r="G456" s="18"/>
      <c r="K456" s="7" t="str">
        <f t="shared" si="13"/>
        <v>Pump9</v>
      </c>
      <c r="L456" s="7" t="str">
        <f t="shared" si="14"/>
        <v>FB_Fault_Temp</v>
      </c>
    </row>
    <row r="457" spans="1:12" x14ac:dyDescent="0.25">
      <c r="A457" s="2">
        <v>446</v>
      </c>
      <c r="B457" s="3" t="s">
        <v>898</v>
      </c>
      <c r="C457" s="2" t="s">
        <v>899</v>
      </c>
      <c r="D457" s="2" t="s">
        <v>7</v>
      </c>
      <c r="E457" s="3" t="s">
        <v>1307</v>
      </c>
      <c r="G457" s="18"/>
      <c r="K457" s="7" t="str">
        <f t="shared" si="13"/>
        <v>Pump9</v>
      </c>
      <c r="L457" s="7" t="str">
        <f t="shared" si="14"/>
        <v>FB_Fault_Curent</v>
      </c>
    </row>
    <row r="458" spans="1:12" x14ac:dyDescent="0.25">
      <c r="A458" s="2">
        <v>447</v>
      </c>
      <c r="B458" s="3" t="s">
        <v>900</v>
      </c>
      <c r="C458" s="2" t="s">
        <v>901</v>
      </c>
      <c r="D458" s="2" t="s">
        <v>7</v>
      </c>
      <c r="E458" s="3" t="s">
        <v>1357</v>
      </c>
      <c r="G458" s="18"/>
      <c r="K458" s="7" t="str">
        <f t="shared" si="13"/>
        <v>Pump9</v>
      </c>
      <c r="L458" s="7" t="str">
        <f t="shared" si="14"/>
        <v>Clock_1m</v>
      </c>
    </row>
    <row r="459" spans="1:12" x14ac:dyDescent="0.25">
      <c r="A459" s="2">
        <v>448</v>
      </c>
      <c r="B459" s="3" t="s">
        <v>902</v>
      </c>
      <c r="C459" s="2" t="s">
        <v>903</v>
      </c>
      <c r="D459" s="2" t="s">
        <v>7</v>
      </c>
      <c r="E459" s="3" t="s">
        <v>1358</v>
      </c>
      <c r="G459" s="18"/>
      <c r="H459" t="s">
        <v>1498</v>
      </c>
      <c r="K459" s="7" t="str">
        <f t="shared" si="13"/>
        <v>Pump9</v>
      </c>
      <c r="L459" s="7" t="str">
        <f t="shared" si="14"/>
        <v>FB_stop</v>
      </c>
    </row>
    <row r="460" spans="1:12" x14ac:dyDescent="0.25">
      <c r="A460" s="2">
        <v>8</v>
      </c>
      <c r="B460" s="12" t="s">
        <v>1441</v>
      </c>
      <c r="C460" s="2" t="s">
        <v>21</v>
      </c>
      <c r="D460" s="2" t="s">
        <v>7</v>
      </c>
      <c r="E460" s="3" t="s">
        <v>1393</v>
      </c>
      <c r="G460" s="18"/>
      <c r="H460" t="s">
        <v>1494</v>
      </c>
      <c r="K460" s="7" t="str">
        <f t="shared" si="13"/>
        <v>Pump9</v>
      </c>
      <c r="L460" s="7" t="str">
        <f t="shared" si="14"/>
        <v>FB_maintenance</v>
      </c>
    </row>
    <row r="461" spans="1:12" x14ac:dyDescent="0.25">
      <c r="A461" s="2">
        <v>449</v>
      </c>
      <c r="B461" s="3" t="s">
        <v>904</v>
      </c>
      <c r="C461" s="2" t="s">
        <v>905</v>
      </c>
      <c r="D461" s="2" t="s">
        <v>24</v>
      </c>
      <c r="E461" s="3" t="s">
        <v>1352</v>
      </c>
      <c r="G461" s="18"/>
      <c r="K461" s="7" t="str">
        <f t="shared" si="13"/>
        <v>Pump9</v>
      </c>
      <c r="L461" s="7" t="str">
        <f t="shared" si="14"/>
        <v>FB_Temp_DEBearing</v>
      </c>
    </row>
    <row r="462" spans="1:12" x14ac:dyDescent="0.25">
      <c r="A462" s="2">
        <v>450</v>
      </c>
      <c r="B462" s="3" t="s">
        <v>906</v>
      </c>
      <c r="C462" s="2" t="s">
        <v>907</v>
      </c>
      <c r="D462" s="2" t="s">
        <v>24</v>
      </c>
      <c r="E462" s="3" t="s">
        <v>1353</v>
      </c>
      <c r="G462" s="18"/>
      <c r="K462" s="7" t="str">
        <f t="shared" ref="K462:K526" si="15">LEFT(B462, SEARCH("_",B462 ) - 1)</f>
        <v>Pump9</v>
      </c>
      <c r="L462" s="7" t="str">
        <f t="shared" si="14"/>
        <v>FB_Temp_NDEBearing</v>
      </c>
    </row>
    <row r="463" spans="1:12" x14ac:dyDescent="0.25">
      <c r="A463" s="2">
        <v>451</v>
      </c>
      <c r="B463" s="3" t="s">
        <v>908</v>
      </c>
      <c r="C463" s="2" t="s">
        <v>909</v>
      </c>
      <c r="D463" s="2" t="s">
        <v>24</v>
      </c>
      <c r="E463" s="3" t="s">
        <v>1308</v>
      </c>
      <c r="G463" s="18"/>
      <c r="K463" s="7" t="str">
        <f t="shared" si="15"/>
        <v>Pump9</v>
      </c>
      <c r="L463" s="7" t="str">
        <f t="shared" si="14"/>
        <v>FB_Temp_PhaseA</v>
      </c>
    </row>
    <row r="464" spans="1:12" x14ac:dyDescent="0.25">
      <c r="A464" s="2">
        <v>452</v>
      </c>
      <c r="B464" s="3" t="s">
        <v>910</v>
      </c>
      <c r="C464" s="2" t="s">
        <v>911</v>
      </c>
      <c r="D464" s="2" t="s">
        <v>24</v>
      </c>
      <c r="E464" s="3" t="s">
        <v>1309</v>
      </c>
      <c r="G464" s="18"/>
      <c r="K464" s="7" t="str">
        <f t="shared" si="15"/>
        <v>Pump9</v>
      </c>
      <c r="L464" s="7" t="str">
        <f t="shared" si="14"/>
        <v>FB_Temp_PhaseB</v>
      </c>
    </row>
    <row r="465" spans="1:12" x14ac:dyDescent="0.25">
      <c r="A465" s="2">
        <v>453</v>
      </c>
      <c r="B465" s="3" t="s">
        <v>912</v>
      </c>
      <c r="C465" s="2" t="s">
        <v>913</v>
      </c>
      <c r="D465" s="2" t="s">
        <v>24</v>
      </c>
      <c r="E465" s="3" t="s">
        <v>1310</v>
      </c>
      <c r="G465" s="18"/>
      <c r="K465" s="7" t="str">
        <f t="shared" si="15"/>
        <v>Pump9</v>
      </c>
      <c r="L465" s="7" t="str">
        <f t="shared" si="14"/>
        <v>FB_Temp_PhaseC</v>
      </c>
    </row>
    <row r="466" spans="1:12" x14ac:dyDescent="0.25">
      <c r="A466" s="2">
        <v>454</v>
      </c>
      <c r="B466" s="3" t="s">
        <v>914</v>
      </c>
      <c r="C466" s="2" t="s">
        <v>915</v>
      </c>
      <c r="D466" s="2" t="s">
        <v>35</v>
      </c>
      <c r="E466" s="3" t="s">
        <v>1315</v>
      </c>
      <c r="G466" s="18"/>
      <c r="K466" s="7" t="str">
        <f t="shared" si="15"/>
        <v>Meter9</v>
      </c>
      <c r="L466" s="7" t="str">
        <f t="shared" si="14"/>
        <v>U1</v>
      </c>
    </row>
    <row r="467" spans="1:12" x14ac:dyDescent="0.25">
      <c r="A467" s="2">
        <v>455</v>
      </c>
      <c r="B467" s="3" t="s">
        <v>916</v>
      </c>
      <c r="C467" s="2" t="s">
        <v>917</v>
      </c>
      <c r="D467" s="2" t="s">
        <v>35</v>
      </c>
      <c r="E467" s="3" t="s">
        <v>1316</v>
      </c>
      <c r="G467" s="18"/>
      <c r="K467" s="7" t="str">
        <f t="shared" si="15"/>
        <v>Meter9</v>
      </c>
      <c r="L467" s="7" t="str">
        <f t="shared" ref="L467:L531" si="16">RIGHT(B467, LEN(B467)-SEARCH("_",B467 ))</f>
        <v>U2</v>
      </c>
    </row>
    <row r="468" spans="1:12" x14ac:dyDescent="0.25">
      <c r="A468" s="2">
        <v>456</v>
      </c>
      <c r="B468" s="3" t="s">
        <v>918</v>
      </c>
      <c r="C468" s="2" t="s">
        <v>919</v>
      </c>
      <c r="D468" s="2" t="s">
        <v>35</v>
      </c>
      <c r="E468" s="3" t="s">
        <v>1317</v>
      </c>
      <c r="G468" s="18"/>
      <c r="K468" s="7" t="str">
        <f t="shared" si="15"/>
        <v>Meter9</v>
      </c>
      <c r="L468" s="7" t="str">
        <f t="shared" si="16"/>
        <v>U3</v>
      </c>
    </row>
    <row r="469" spans="1:12" x14ac:dyDescent="0.25">
      <c r="A469" s="2">
        <v>457</v>
      </c>
      <c r="B469" s="3" t="s">
        <v>920</v>
      </c>
      <c r="C469" s="2" t="s">
        <v>921</v>
      </c>
      <c r="D469" s="2" t="s">
        <v>35</v>
      </c>
      <c r="E469" s="3" t="s">
        <v>1318</v>
      </c>
      <c r="G469" s="18"/>
      <c r="K469" s="7" t="str">
        <f t="shared" si="15"/>
        <v>Meter9</v>
      </c>
      <c r="L469" s="7" t="str">
        <f t="shared" si="16"/>
        <v>U_Ph</v>
      </c>
    </row>
    <row r="470" spans="1:12" x14ac:dyDescent="0.25">
      <c r="A470" s="2">
        <v>458</v>
      </c>
      <c r="B470" s="3" t="s">
        <v>922</v>
      </c>
      <c r="C470" s="2" t="s">
        <v>923</v>
      </c>
      <c r="D470" s="2" t="s">
        <v>35</v>
      </c>
      <c r="E470" s="3" t="s">
        <v>1319</v>
      </c>
      <c r="G470" s="18"/>
      <c r="H470" t="s">
        <v>1486</v>
      </c>
      <c r="K470" s="7" t="str">
        <f t="shared" si="15"/>
        <v>Meter9</v>
      </c>
      <c r="L470" s="7" t="str">
        <f t="shared" si="16"/>
        <v>U12</v>
      </c>
    </row>
    <row r="471" spans="1:12" x14ac:dyDescent="0.25">
      <c r="A471" s="2">
        <v>459</v>
      </c>
      <c r="B471" s="3" t="s">
        <v>924</v>
      </c>
      <c r="C471" s="2" t="s">
        <v>925</v>
      </c>
      <c r="D471" s="2" t="s">
        <v>35</v>
      </c>
      <c r="E471" s="3" t="s">
        <v>1320</v>
      </c>
      <c r="G471" s="18"/>
      <c r="H471" t="s">
        <v>1487</v>
      </c>
      <c r="K471" s="7" t="str">
        <f t="shared" si="15"/>
        <v>Meter9</v>
      </c>
      <c r="L471" s="7" t="str">
        <f t="shared" si="16"/>
        <v>U23</v>
      </c>
    </row>
    <row r="472" spans="1:12" x14ac:dyDescent="0.25">
      <c r="A472" s="2">
        <v>460</v>
      </c>
      <c r="B472" s="3" t="s">
        <v>926</v>
      </c>
      <c r="C472" s="2" t="s">
        <v>927</v>
      </c>
      <c r="D472" s="2" t="s">
        <v>35</v>
      </c>
      <c r="E472" s="3" t="s">
        <v>1321</v>
      </c>
      <c r="G472" s="18"/>
      <c r="H472" t="s">
        <v>1488</v>
      </c>
      <c r="K472" s="7" t="str">
        <f t="shared" si="15"/>
        <v>Meter9</v>
      </c>
      <c r="L472" s="7" t="str">
        <f t="shared" si="16"/>
        <v>U31</v>
      </c>
    </row>
    <row r="473" spans="1:12" x14ac:dyDescent="0.25">
      <c r="A473" s="2">
        <v>461</v>
      </c>
      <c r="B473" s="3" t="s">
        <v>928</v>
      </c>
      <c r="C473" s="2" t="s">
        <v>929</v>
      </c>
      <c r="D473" s="2" t="s">
        <v>35</v>
      </c>
      <c r="E473" s="3" t="s">
        <v>1322</v>
      </c>
      <c r="G473" s="18"/>
      <c r="K473" s="7" t="str">
        <f t="shared" si="15"/>
        <v>Meter9</v>
      </c>
      <c r="L473" s="7" t="str">
        <f t="shared" si="16"/>
        <v>Uline</v>
      </c>
    </row>
    <row r="474" spans="1:12" x14ac:dyDescent="0.25">
      <c r="A474" s="2">
        <v>462</v>
      </c>
      <c r="B474" s="3" t="s">
        <v>930</v>
      </c>
      <c r="C474" s="2" t="s">
        <v>931</v>
      </c>
      <c r="D474" s="2" t="s">
        <v>35</v>
      </c>
      <c r="E474" s="3" t="s">
        <v>1312</v>
      </c>
      <c r="G474" s="18"/>
      <c r="H474" s="7" t="s">
        <v>1483</v>
      </c>
      <c r="K474" s="7" t="str">
        <f t="shared" si="15"/>
        <v>Meter9</v>
      </c>
      <c r="L474" s="7" t="str">
        <f t="shared" si="16"/>
        <v>I1</v>
      </c>
    </row>
    <row r="475" spans="1:12" x14ac:dyDescent="0.25">
      <c r="A475" s="2">
        <v>463</v>
      </c>
      <c r="B475" s="3" t="s">
        <v>932</v>
      </c>
      <c r="C475" s="2" t="s">
        <v>933</v>
      </c>
      <c r="D475" s="2" t="s">
        <v>35</v>
      </c>
      <c r="E475" s="3" t="s">
        <v>1313</v>
      </c>
      <c r="G475" s="18"/>
      <c r="H475" s="7" t="s">
        <v>1484</v>
      </c>
      <c r="K475" s="7" t="str">
        <f t="shared" si="15"/>
        <v>Meter9</v>
      </c>
      <c r="L475" s="7" t="str">
        <f t="shared" si="16"/>
        <v>I2</v>
      </c>
    </row>
    <row r="476" spans="1:12" x14ac:dyDescent="0.25">
      <c r="A476" s="2">
        <v>464</v>
      </c>
      <c r="B476" s="3" t="s">
        <v>934</v>
      </c>
      <c r="C476" s="2" t="s">
        <v>935</v>
      </c>
      <c r="D476" s="2" t="s">
        <v>35</v>
      </c>
      <c r="E476" s="3" t="s">
        <v>1314</v>
      </c>
      <c r="G476" s="18"/>
      <c r="H476" s="7" t="s">
        <v>1485</v>
      </c>
      <c r="K476" s="7" t="str">
        <f t="shared" si="15"/>
        <v>Meter9</v>
      </c>
      <c r="L476" s="7" t="str">
        <f t="shared" si="16"/>
        <v>I3</v>
      </c>
    </row>
    <row r="477" spans="1:12" x14ac:dyDescent="0.25">
      <c r="A477" s="2">
        <v>465</v>
      </c>
      <c r="B477" s="3" t="s">
        <v>936</v>
      </c>
      <c r="C477" s="2" t="s">
        <v>937</v>
      </c>
      <c r="D477" s="2" t="s">
        <v>35</v>
      </c>
      <c r="E477" s="3" t="s">
        <v>1311</v>
      </c>
      <c r="G477" s="18"/>
      <c r="H477" s="3" t="s">
        <v>1311</v>
      </c>
      <c r="K477" s="7" t="str">
        <f t="shared" si="15"/>
        <v>Meter9</v>
      </c>
      <c r="L477" s="7" t="str">
        <f t="shared" si="16"/>
        <v>I_ph</v>
      </c>
    </row>
    <row r="478" spans="1:12" x14ac:dyDescent="0.25">
      <c r="A478" s="2">
        <v>466</v>
      </c>
      <c r="B478" s="3" t="s">
        <v>938</v>
      </c>
      <c r="C478" s="2" t="s">
        <v>939</v>
      </c>
      <c r="D478" s="2" t="s">
        <v>35</v>
      </c>
      <c r="E478" s="3" t="s">
        <v>1323</v>
      </c>
      <c r="G478" s="18"/>
      <c r="K478" s="7" t="str">
        <f t="shared" si="15"/>
        <v>Meter9</v>
      </c>
      <c r="L478" s="7" t="str">
        <f t="shared" si="16"/>
        <v>kw1</v>
      </c>
    </row>
    <row r="479" spans="1:12" x14ac:dyDescent="0.25">
      <c r="A479" s="2">
        <v>467</v>
      </c>
      <c r="B479" s="3" t="s">
        <v>940</v>
      </c>
      <c r="C479" s="2" t="s">
        <v>941</v>
      </c>
      <c r="D479" s="2" t="s">
        <v>35</v>
      </c>
      <c r="E479" s="3" t="s">
        <v>1324</v>
      </c>
      <c r="G479" s="18"/>
      <c r="K479" s="7" t="str">
        <f t="shared" si="15"/>
        <v>Meter9</v>
      </c>
      <c r="L479" s="7" t="str">
        <f t="shared" si="16"/>
        <v>kw2</v>
      </c>
    </row>
    <row r="480" spans="1:12" x14ac:dyDescent="0.25">
      <c r="A480" s="2">
        <v>468</v>
      </c>
      <c r="B480" s="3" t="s">
        <v>942</v>
      </c>
      <c r="C480" s="2" t="s">
        <v>943</v>
      </c>
      <c r="D480" s="2" t="s">
        <v>35</v>
      </c>
      <c r="E480" s="3" t="s">
        <v>1325</v>
      </c>
      <c r="G480" s="18"/>
      <c r="K480" s="7" t="str">
        <f t="shared" si="15"/>
        <v>Meter9</v>
      </c>
      <c r="L480" s="7" t="str">
        <f t="shared" si="16"/>
        <v>kw3</v>
      </c>
    </row>
    <row r="481" spans="1:12" x14ac:dyDescent="0.25">
      <c r="A481" s="2">
        <v>469</v>
      </c>
      <c r="B481" s="3" t="s">
        <v>944</v>
      </c>
      <c r="C481" s="2" t="s">
        <v>945</v>
      </c>
      <c r="D481" s="2" t="s">
        <v>35</v>
      </c>
      <c r="E481" s="3" t="s">
        <v>1326</v>
      </c>
      <c r="G481" s="18"/>
      <c r="K481" s="7" t="str">
        <f t="shared" si="15"/>
        <v>Meter9</v>
      </c>
      <c r="L481" s="7" t="str">
        <f t="shared" si="16"/>
        <v>kva1</v>
      </c>
    </row>
    <row r="482" spans="1:12" x14ac:dyDescent="0.25">
      <c r="A482" s="2">
        <v>470</v>
      </c>
      <c r="B482" s="3" t="s">
        <v>946</v>
      </c>
      <c r="C482" s="2" t="s">
        <v>947</v>
      </c>
      <c r="D482" s="2" t="s">
        <v>35</v>
      </c>
      <c r="E482" s="3" t="s">
        <v>1327</v>
      </c>
      <c r="G482" s="18"/>
      <c r="K482" s="7" t="str">
        <f t="shared" si="15"/>
        <v>Meter9</v>
      </c>
      <c r="L482" s="7" t="str">
        <f t="shared" si="16"/>
        <v>kva2</v>
      </c>
    </row>
    <row r="483" spans="1:12" x14ac:dyDescent="0.25">
      <c r="A483" s="2">
        <v>471</v>
      </c>
      <c r="B483" s="3" t="s">
        <v>948</v>
      </c>
      <c r="C483" s="2" t="s">
        <v>949</v>
      </c>
      <c r="D483" s="2" t="s">
        <v>35</v>
      </c>
      <c r="E483" s="3" t="s">
        <v>1328</v>
      </c>
      <c r="G483" s="18"/>
      <c r="K483" s="7" t="str">
        <f t="shared" si="15"/>
        <v>Meter9</v>
      </c>
      <c r="L483" s="7" t="str">
        <f t="shared" si="16"/>
        <v>kva3</v>
      </c>
    </row>
    <row r="484" spans="1:12" x14ac:dyDescent="0.25">
      <c r="A484" s="2">
        <v>472</v>
      </c>
      <c r="B484" s="3" t="s">
        <v>950</v>
      </c>
      <c r="C484" s="2" t="s">
        <v>951</v>
      </c>
      <c r="D484" s="2" t="s">
        <v>35</v>
      </c>
      <c r="E484" s="3" t="s">
        <v>1329</v>
      </c>
      <c r="G484" s="18"/>
      <c r="K484" s="7" t="str">
        <f t="shared" si="15"/>
        <v>Meter9</v>
      </c>
      <c r="L484" s="7" t="str">
        <f t="shared" si="16"/>
        <v>kvar1</v>
      </c>
    </row>
    <row r="485" spans="1:12" x14ac:dyDescent="0.25">
      <c r="A485" s="2">
        <v>473</v>
      </c>
      <c r="B485" s="3" t="s">
        <v>952</v>
      </c>
      <c r="C485" s="2" t="s">
        <v>953</v>
      </c>
      <c r="D485" s="2" t="s">
        <v>35</v>
      </c>
      <c r="E485" s="3" t="s">
        <v>1330</v>
      </c>
      <c r="G485" s="18"/>
      <c r="K485" s="7" t="str">
        <f t="shared" si="15"/>
        <v>Meter9</v>
      </c>
      <c r="L485" s="7" t="str">
        <f t="shared" si="16"/>
        <v>kvar2</v>
      </c>
    </row>
    <row r="486" spans="1:12" x14ac:dyDescent="0.25">
      <c r="A486" s="2">
        <v>474</v>
      </c>
      <c r="B486" s="3" t="s">
        <v>954</v>
      </c>
      <c r="C486" s="2" t="s">
        <v>955</v>
      </c>
      <c r="D486" s="2" t="s">
        <v>35</v>
      </c>
      <c r="E486" s="3" t="s">
        <v>1331</v>
      </c>
      <c r="G486" s="18"/>
      <c r="K486" s="7" t="str">
        <f t="shared" si="15"/>
        <v>Meter9</v>
      </c>
      <c r="L486" s="7" t="str">
        <f t="shared" si="16"/>
        <v>kvar3</v>
      </c>
    </row>
    <row r="487" spans="1:12" x14ac:dyDescent="0.25">
      <c r="A487" s="2">
        <v>475</v>
      </c>
      <c r="B487" s="3" t="s">
        <v>956</v>
      </c>
      <c r="C487" s="2" t="s">
        <v>957</v>
      </c>
      <c r="D487" s="2" t="s">
        <v>35</v>
      </c>
      <c r="E487" s="3" t="s">
        <v>1332</v>
      </c>
      <c r="G487" s="18"/>
      <c r="K487" s="7" t="str">
        <f t="shared" si="15"/>
        <v>Meter9</v>
      </c>
      <c r="L487" s="7" t="str">
        <f t="shared" si="16"/>
        <v>total_kw</v>
      </c>
    </row>
    <row r="488" spans="1:12" x14ac:dyDescent="0.25">
      <c r="A488" s="2">
        <v>476</v>
      </c>
      <c r="B488" s="3" t="s">
        <v>958</v>
      </c>
      <c r="C488" s="2" t="s">
        <v>959</v>
      </c>
      <c r="D488" s="2" t="s">
        <v>35</v>
      </c>
      <c r="E488" s="3" t="s">
        <v>1333</v>
      </c>
      <c r="G488" s="18"/>
      <c r="K488" s="7" t="str">
        <f t="shared" si="15"/>
        <v>Meter9</v>
      </c>
      <c r="L488" s="7" t="str">
        <f t="shared" si="16"/>
        <v>total_kva</v>
      </c>
    </row>
    <row r="489" spans="1:12" x14ac:dyDescent="0.25">
      <c r="A489" s="2">
        <v>477</v>
      </c>
      <c r="B489" s="3" t="s">
        <v>960</v>
      </c>
      <c r="C489" s="2" t="s">
        <v>961</v>
      </c>
      <c r="D489" s="2" t="s">
        <v>35</v>
      </c>
      <c r="E489" s="3" t="s">
        <v>1334</v>
      </c>
      <c r="G489" s="18"/>
      <c r="K489" s="7" t="str">
        <f t="shared" si="15"/>
        <v>Meter9</v>
      </c>
      <c r="L489" s="7" t="str">
        <f t="shared" si="16"/>
        <v>total_kvar</v>
      </c>
    </row>
    <row r="490" spans="1:12" x14ac:dyDescent="0.25">
      <c r="A490" s="2">
        <v>478</v>
      </c>
      <c r="B490" s="3" t="s">
        <v>962</v>
      </c>
      <c r="C490" s="2" t="s">
        <v>963</v>
      </c>
      <c r="D490" s="2" t="s">
        <v>35</v>
      </c>
      <c r="E490" s="3" t="s">
        <v>1335</v>
      </c>
      <c r="G490" s="18"/>
      <c r="K490" s="7" t="str">
        <f t="shared" si="15"/>
        <v>Meter9</v>
      </c>
      <c r="L490" s="7" t="str">
        <f t="shared" si="16"/>
        <v>PF1</v>
      </c>
    </row>
    <row r="491" spans="1:12" x14ac:dyDescent="0.25">
      <c r="A491" s="2">
        <v>479</v>
      </c>
      <c r="B491" s="3" t="s">
        <v>964</v>
      </c>
      <c r="C491" s="2" t="s">
        <v>965</v>
      </c>
      <c r="D491" s="2" t="s">
        <v>35</v>
      </c>
      <c r="E491" s="3" t="s">
        <v>1336</v>
      </c>
      <c r="G491" s="18"/>
      <c r="K491" s="7" t="str">
        <f t="shared" si="15"/>
        <v>Meter9</v>
      </c>
      <c r="L491" s="7" t="str">
        <f t="shared" si="16"/>
        <v>PF2</v>
      </c>
    </row>
    <row r="492" spans="1:12" x14ac:dyDescent="0.25">
      <c r="A492" s="2">
        <v>480</v>
      </c>
      <c r="B492" s="3" t="s">
        <v>966</v>
      </c>
      <c r="C492" s="2" t="s">
        <v>967</v>
      </c>
      <c r="D492" s="2" t="s">
        <v>35</v>
      </c>
      <c r="E492" s="3" t="s">
        <v>1337</v>
      </c>
      <c r="G492" s="18"/>
      <c r="K492" s="7" t="str">
        <f t="shared" si="15"/>
        <v>Meter9</v>
      </c>
      <c r="L492" s="7" t="str">
        <f t="shared" si="16"/>
        <v>PF3</v>
      </c>
    </row>
    <row r="493" spans="1:12" x14ac:dyDescent="0.25">
      <c r="A493" s="2">
        <v>481</v>
      </c>
      <c r="B493" s="3" t="s">
        <v>968</v>
      </c>
      <c r="C493" s="2" t="s">
        <v>969</v>
      </c>
      <c r="D493" s="2" t="s">
        <v>35</v>
      </c>
      <c r="E493" s="3" t="s">
        <v>1338</v>
      </c>
      <c r="G493" s="18"/>
      <c r="K493" s="7" t="str">
        <f t="shared" si="15"/>
        <v>Meter9</v>
      </c>
      <c r="L493" s="7" t="str">
        <f t="shared" si="16"/>
        <v>PF</v>
      </c>
    </row>
    <row r="494" spans="1:12" x14ac:dyDescent="0.25">
      <c r="A494" s="2">
        <v>482</v>
      </c>
      <c r="B494" s="3" t="s">
        <v>970</v>
      </c>
      <c r="C494" s="2" t="s">
        <v>971</v>
      </c>
      <c r="D494" s="2" t="s">
        <v>35</v>
      </c>
      <c r="E494" s="3" t="s">
        <v>1339</v>
      </c>
      <c r="G494" s="18"/>
      <c r="K494" s="7" t="str">
        <f t="shared" si="15"/>
        <v>Meter9</v>
      </c>
      <c r="L494" s="7" t="str">
        <f t="shared" si="16"/>
        <v>freq</v>
      </c>
    </row>
    <row r="495" spans="1:12" x14ac:dyDescent="0.25">
      <c r="A495" s="2">
        <v>483</v>
      </c>
      <c r="B495" s="3" t="s">
        <v>972</v>
      </c>
      <c r="C495" s="2" t="s">
        <v>973</v>
      </c>
      <c r="D495" s="2" t="s">
        <v>35</v>
      </c>
      <c r="E495" s="3" t="s">
        <v>1340</v>
      </c>
      <c r="G495" s="18"/>
      <c r="K495" s="7" t="str">
        <f t="shared" si="15"/>
        <v>Meter9</v>
      </c>
      <c r="L495" s="7" t="str">
        <f t="shared" si="16"/>
        <v>kwh</v>
      </c>
    </row>
    <row r="496" spans="1:12" x14ac:dyDescent="0.25">
      <c r="A496" s="2">
        <v>484</v>
      </c>
      <c r="B496" s="3" t="s">
        <v>974</v>
      </c>
      <c r="C496" s="2" t="s">
        <v>975</v>
      </c>
      <c r="D496" s="2" t="s">
        <v>35</v>
      </c>
      <c r="E496" s="3" t="s">
        <v>1341</v>
      </c>
      <c r="G496" s="18"/>
      <c r="K496" s="7" t="str">
        <f t="shared" si="15"/>
        <v>Meter9</v>
      </c>
      <c r="L496" s="7" t="str">
        <f t="shared" si="16"/>
        <v>kvah</v>
      </c>
    </row>
    <row r="497" spans="1:12" x14ac:dyDescent="0.25">
      <c r="A497" s="2">
        <v>485</v>
      </c>
      <c r="B497" s="3" t="s">
        <v>976</v>
      </c>
      <c r="C497" s="2" t="s">
        <v>977</v>
      </c>
      <c r="D497" s="2" t="s">
        <v>35</v>
      </c>
      <c r="E497" s="3" t="s">
        <v>1342</v>
      </c>
      <c r="G497" s="18"/>
      <c r="K497" s="7" t="str">
        <f t="shared" si="15"/>
        <v>Meter9</v>
      </c>
      <c r="L497" s="7" t="str">
        <f t="shared" si="16"/>
        <v>kvarh</v>
      </c>
    </row>
    <row r="498" spans="1:12" x14ac:dyDescent="0.25">
      <c r="A498" s="2">
        <v>486</v>
      </c>
      <c r="B498" s="3" t="s">
        <v>978</v>
      </c>
      <c r="C498" s="2" t="s">
        <v>979</v>
      </c>
      <c r="D498" s="2" t="s">
        <v>7</v>
      </c>
      <c r="E498" s="3" t="s">
        <v>1343</v>
      </c>
      <c r="G498" s="18"/>
      <c r="K498" s="7" t="str">
        <f t="shared" si="15"/>
        <v>Pump9</v>
      </c>
      <c r="L498" s="7" t="str">
        <f t="shared" si="16"/>
        <v>Ctrl_run_Pump</v>
      </c>
    </row>
    <row r="499" spans="1:12" x14ac:dyDescent="0.25">
      <c r="A499" s="2">
        <v>487</v>
      </c>
      <c r="B499" s="3" t="s">
        <v>980</v>
      </c>
      <c r="C499" s="2" t="s">
        <v>981</v>
      </c>
      <c r="D499" s="2" t="s">
        <v>7</v>
      </c>
      <c r="E499" s="3" t="s">
        <v>1354</v>
      </c>
      <c r="G499" s="18"/>
      <c r="H499" t="s">
        <v>1496</v>
      </c>
      <c r="K499" s="7" t="str">
        <f t="shared" si="15"/>
        <v>Pump9</v>
      </c>
      <c r="L499" s="7" t="str">
        <f t="shared" si="16"/>
        <v>FB_Fault</v>
      </c>
    </row>
    <row r="500" spans="1:12" x14ac:dyDescent="0.25">
      <c r="A500" s="2">
        <v>488</v>
      </c>
      <c r="B500" s="3" t="s">
        <v>982</v>
      </c>
      <c r="C500" s="2" t="s">
        <v>983</v>
      </c>
      <c r="D500" s="2" t="s">
        <v>7</v>
      </c>
      <c r="E500" s="3" t="s">
        <v>1344</v>
      </c>
      <c r="G500" s="18"/>
      <c r="K500" s="7" t="str">
        <f t="shared" si="15"/>
        <v>Pump9</v>
      </c>
      <c r="L500" s="7" t="str">
        <f t="shared" si="16"/>
        <v>Ctrl_PB_Run</v>
      </c>
    </row>
    <row r="501" spans="1:12" x14ac:dyDescent="0.25">
      <c r="A501" s="2">
        <v>489</v>
      </c>
      <c r="B501" s="3" t="s">
        <v>984</v>
      </c>
      <c r="C501" s="2" t="s">
        <v>985</v>
      </c>
      <c r="D501" s="2" t="s">
        <v>7</v>
      </c>
      <c r="E501" s="3" t="s">
        <v>1345</v>
      </c>
      <c r="G501" s="18"/>
      <c r="K501" s="7" t="str">
        <f t="shared" si="15"/>
        <v>Pump9</v>
      </c>
      <c r="L501" s="7" t="str">
        <f t="shared" si="16"/>
        <v>Ctrl_PB_Stop</v>
      </c>
    </row>
    <row r="502" spans="1:12" x14ac:dyDescent="0.25">
      <c r="A502" s="2">
        <v>490</v>
      </c>
      <c r="B502" s="3" t="s">
        <v>986</v>
      </c>
      <c r="C502" s="2" t="s">
        <v>987</v>
      </c>
      <c r="D502" s="2" t="s">
        <v>7</v>
      </c>
      <c r="E502" s="3" t="s">
        <v>1346</v>
      </c>
      <c r="G502" s="18"/>
      <c r="K502" s="7" t="str">
        <f t="shared" si="15"/>
        <v>Pump9</v>
      </c>
      <c r="L502" s="7" t="str">
        <f t="shared" si="16"/>
        <v>Ctrl_PB_RST</v>
      </c>
    </row>
    <row r="503" spans="1:12" x14ac:dyDescent="0.25">
      <c r="A503" s="2">
        <v>491</v>
      </c>
      <c r="B503" s="3" t="s">
        <v>988</v>
      </c>
      <c r="C503" s="2" t="s">
        <v>989</v>
      </c>
      <c r="D503" s="2" t="s">
        <v>24</v>
      </c>
      <c r="E503" s="3" t="s">
        <v>1347</v>
      </c>
      <c r="G503" s="18"/>
      <c r="K503" s="7" t="str">
        <f t="shared" si="15"/>
        <v>Pump9</v>
      </c>
      <c r="L503" s="7" t="str">
        <f t="shared" si="16"/>
        <v>Time_Run_M</v>
      </c>
    </row>
    <row r="504" spans="1:12" x14ac:dyDescent="0.25">
      <c r="A504" s="2">
        <v>492</v>
      </c>
      <c r="B504" s="3" t="s">
        <v>990</v>
      </c>
      <c r="C504" s="2" t="s">
        <v>991</v>
      </c>
      <c r="D504" s="2" t="s">
        <v>24</v>
      </c>
      <c r="E504" s="3" t="s">
        <v>1348</v>
      </c>
      <c r="G504" s="18"/>
      <c r="K504" s="7" t="str">
        <f t="shared" si="15"/>
        <v>Pump9</v>
      </c>
      <c r="L504" s="7" t="str">
        <f t="shared" si="16"/>
        <v>Time_Run_H</v>
      </c>
    </row>
    <row r="505" spans="1:12" x14ac:dyDescent="0.25">
      <c r="A505" s="2">
        <v>493</v>
      </c>
      <c r="B505" s="3" t="s">
        <v>992</v>
      </c>
      <c r="C505" s="2" t="s">
        <v>993</v>
      </c>
      <c r="D505" s="2" t="s">
        <v>24</v>
      </c>
      <c r="E505" s="3" t="s">
        <v>1349</v>
      </c>
      <c r="G505" s="18"/>
      <c r="K505" s="7" t="str">
        <f t="shared" si="15"/>
        <v>Pump9</v>
      </c>
      <c r="L505" s="7" t="str">
        <f t="shared" si="16"/>
        <v>Total_Time_Run_M</v>
      </c>
    </row>
    <row r="506" spans="1:12" x14ac:dyDescent="0.25">
      <c r="A506" s="2">
        <v>494</v>
      </c>
      <c r="B506" s="3" t="s">
        <v>994</v>
      </c>
      <c r="C506" s="2" t="s">
        <v>995</v>
      </c>
      <c r="D506" s="2" t="s">
        <v>24</v>
      </c>
      <c r="E506" s="3" t="s">
        <v>1350</v>
      </c>
      <c r="G506" s="18"/>
      <c r="H506" t="s">
        <v>1407</v>
      </c>
      <c r="K506" s="7" t="str">
        <f t="shared" si="15"/>
        <v>Pump9</v>
      </c>
      <c r="L506" s="7" t="str">
        <f t="shared" si="16"/>
        <v>Total_Time_Run_H</v>
      </c>
    </row>
    <row r="507" spans="1:12" x14ac:dyDescent="0.25">
      <c r="A507" s="2">
        <v>495</v>
      </c>
      <c r="B507" s="3" t="s">
        <v>996</v>
      </c>
      <c r="C507" s="2" t="s">
        <v>997</v>
      </c>
      <c r="D507" s="2" t="s">
        <v>24</v>
      </c>
      <c r="E507" s="3" t="s">
        <v>1351</v>
      </c>
      <c r="G507" s="18"/>
      <c r="K507" s="7" t="str">
        <f t="shared" si="15"/>
        <v>Pump9</v>
      </c>
      <c r="L507" s="7" t="str">
        <f t="shared" si="16"/>
        <v>NumberOfclose</v>
      </c>
    </row>
    <row r="508" spans="1:12" x14ac:dyDescent="0.25">
      <c r="A508" s="2">
        <v>496</v>
      </c>
      <c r="B508" s="3" t="s">
        <v>998</v>
      </c>
      <c r="C508" s="2" t="s">
        <v>999</v>
      </c>
      <c r="D508" s="2" t="s">
        <v>7</v>
      </c>
      <c r="E508" s="3" t="s">
        <v>1355</v>
      </c>
      <c r="G508" s="18" t="s">
        <v>1504</v>
      </c>
      <c r="K508" s="7" t="str">
        <f t="shared" si="15"/>
        <v>Pump10</v>
      </c>
      <c r="L508" s="7" t="str">
        <f t="shared" si="16"/>
        <v>FB_auto</v>
      </c>
    </row>
    <row r="509" spans="1:12" x14ac:dyDescent="0.25">
      <c r="A509" s="2">
        <v>497</v>
      </c>
      <c r="B509" s="3" t="s">
        <v>1000</v>
      </c>
      <c r="C509" s="2" t="s">
        <v>1001</v>
      </c>
      <c r="D509" s="2" t="s">
        <v>7</v>
      </c>
      <c r="E509" s="3" t="s">
        <v>1306</v>
      </c>
      <c r="G509" s="18"/>
      <c r="H509" t="s">
        <v>1497</v>
      </c>
      <c r="K509" s="7" t="str">
        <f t="shared" si="15"/>
        <v>Pump10</v>
      </c>
      <c r="L509" s="7" t="str">
        <f t="shared" si="16"/>
        <v>FB_Run</v>
      </c>
    </row>
    <row r="510" spans="1:12" x14ac:dyDescent="0.25">
      <c r="A510" s="2">
        <v>498</v>
      </c>
      <c r="B510" s="3" t="s">
        <v>1002</v>
      </c>
      <c r="C510" s="2" t="s">
        <v>1003</v>
      </c>
      <c r="D510" s="2" t="s">
        <v>7</v>
      </c>
      <c r="E510" s="3" t="s">
        <v>1307</v>
      </c>
      <c r="G510" s="18"/>
      <c r="K510" s="7" t="str">
        <f t="shared" si="15"/>
        <v>Pump10</v>
      </c>
      <c r="L510" s="7" t="str">
        <f t="shared" si="16"/>
        <v>FB_Fault_V</v>
      </c>
    </row>
    <row r="511" spans="1:12" x14ac:dyDescent="0.25">
      <c r="A511" s="2">
        <v>499</v>
      </c>
      <c r="B511" s="3" t="s">
        <v>1004</v>
      </c>
      <c r="C511" s="2" t="s">
        <v>1005</v>
      </c>
      <c r="D511" s="2" t="s">
        <v>7</v>
      </c>
      <c r="E511" s="3" t="s">
        <v>1307</v>
      </c>
      <c r="G511" s="18"/>
      <c r="H511" t="s">
        <v>1499</v>
      </c>
      <c r="K511" s="7" t="str">
        <f t="shared" si="15"/>
        <v>Pump10</v>
      </c>
      <c r="L511" s="7" t="str">
        <f t="shared" si="16"/>
        <v>FB_Fault_SS</v>
      </c>
    </row>
    <row r="512" spans="1:12" x14ac:dyDescent="0.25">
      <c r="A512" s="2">
        <v>500</v>
      </c>
      <c r="B512" s="3" t="s">
        <v>1006</v>
      </c>
      <c r="C512" s="2" t="s">
        <v>1007</v>
      </c>
      <c r="D512" s="2" t="s">
        <v>7</v>
      </c>
      <c r="E512" s="3" t="s">
        <v>1356</v>
      </c>
      <c r="G512" s="18"/>
      <c r="K512" s="7" t="str">
        <f t="shared" si="15"/>
        <v>Pump10</v>
      </c>
      <c r="L512" s="7" t="str">
        <f t="shared" si="16"/>
        <v>FB_Fault_Temp</v>
      </c>
    </row>
    <row r="513" spans="1:12" x14ac:dyDescent="0.25">
      <c r="A513" s="2">
        <v>501</v>
      </c>
      <c r="B513" s="3" t="s">
        <v>1008</v>
      </c>
      <c r="C513" s="2" t="s">
        <v>1009</v>
      </c>
      <c r="D513" s="2" t="s">
        <v>7</v>
      </c>
      <c r="E513" s="3" t="s">
        <v>1307</v>
      </c>
      <c r="G513" s="18"/>
      <c r="K513" s="7" t="str">
        <f t="shared" si="15"/>
        <v>Pump10</v>
      </c>
      <c r="L513" s="7" t="str">
        <f t="shared" si="16"/>
        <v>FB_Fault_Curent</v>
      </c>
    </row>
    <row r="514" spans="1:12" x14ac:dyDescent="0.25">
      <c r="A514" s="2">
        <v>502</v>
      </c>
      <c r="B514" s="3" t="s">
        <v>1010</v>
      </c>
      <c r="C514" s="2" t="s">
        <v>1011</v>
      </c>
      <c r="D514" s="2" t="s">
        <v>7</v>
      </c>
      <c r="E514" s="3" t="s">
        <v>1357</v>
      </c>
      <c r="G514" s="18"/>
      <c r="K514" s="7" t="str">
        <f t="shared" si="15"/>
        <v>Pump10</v>
      </c>
      <c r="L514" s="7" t="str">
        <f t="shared" si="16"/>
        <v>Clock_1m</v>
      </c>
    </row>
    <row r="515" spans="1:12" x14ac:dyDescent="0.25">
      <c r="A515" s="2">
        <v>503</v>
      </c>
      <c r="B515" s="3" t="s">
        <v>1012</v>
      </c>
      <c r="C515" s="2" t="s">
        <v>1013</v>
      </c>
      <c r="D515" s="2" t="s">
        <v>7</v>
      </c>
      <c r="E515" s="3" t="s">
        <v>1358</v>
      </c>
      <c r="G515" s="18"/>
      <c r="H515" t="s">
        <v>1498</v>
      </c>
      <c r="K515" s="7" t="str">
        <f t="shared" si="15"/>
        <v>Pump10</v>
      </c>
      <c r="L515" s="7" t="str">
        <f t="shared" si="16"/>
        <v>FB_stop</v>
      </c>
    </row>
    <row r="516" spans="1:12" x14ac:dyDescent="0.25">
      <c r="A516" s="2">
        <v>8</v>
      </c>
      <c r="B516" s="12" t="s">
        <v>1442</v>
      </c>
      <c r="C516" s="2" t="s">
        <v>21</v>
      </c>
      <c r="D516" s="2" t="s">
        <v>7</v>
      </c>
      <c r="E516" s="3" t="s">
        <v>1393</v>
      </c>
      <c r="G516" s="18"/>
      <c r="H516" t="s">
        <v>1494</v>
      </c>
      <c r="K516" s="7" t="str">
        <f t="shared" si="15"/>
        <v>Pump10</v>
      </c>
      <c r="L516" s="7" t="str">
        <f t="shared" si="16"/>
        <v>FB_maintenance</v>
      </c>
    </row>
    <row r="517" spans="1:12" x14ac:dyDescent="0.25">
      <c r="A517" s="2">
        <v>504</v>
      </c>
      <c r="B517" s="3" t="s">
        <v>1014</v>
      </c>
      <c r="C517" s="2" t="s">
        <v>1015</v>
      </c>
      <c r="D517" s="2" t="s">
        <v>24</v>
      </c>
      <c r="E517" s="3" t="s">
        <v>1352</v>
      </c>
      <c r="G517" s="18"/>
      <c r="K517" s="7" t="str">
        <f t="shared" si="15"/>
        <v>Pump10</v>
      </c>
      <c r="L517" s="7" t="str">
        <f t="shared" si="16"/>
        <v>FB_Temp_DEBearing</v>
      </c>
    </row>
    <row r="518" spans="1:12" x14ac:dyDescent="0.25">
      <c r="A518" s="2">
        <v>505</v>
      </c>
      <c r="B518" s="3" t="s">
        <v>1016</v>
      </c>
      <c r="C518" s="2" t="s">
        <v>1017</v>
      </c>
      <c r="D518" s="2" t="s">
        <v>24</v>
      </c>
      <c r="E518" s="3" t="s">
        <v>1353</v>
      </c>
      <c r="G518" s="18"/>
      <c r="K518" s="7" t="str">
        <f t="shared" si="15"/>
        <v>Pump10</v>
      </c>
      <c r="L518" s="7" t="str">
        <f t="shared" si="16"/>
        <v>FB_Temp_NDEBearing</v>
      </c>
    </row>
    <row r="519" spans="1:12" x14ac:dyDescent="0.25">
      <c r="A519" s="2">
        <v>506</v>
      </c>
      <c r="B519" s="3" t="s">
        <v>1018</v>
      </c>
      <c r="C519" s="2" t="s">
        <v>1019</v>
      </c>
      <c r="D519" s="2" t="s">
        <v>24</v>
      </c>
      <c r="E519" s="3" t="s">
        <v>1308</v>
      </c>
      <c r="G519" s="18"/>
      <c r="K519" s="7" t="str">
        <f t="shared" si="15"/>
        <v>Pump10</v>
      </c>
      <c r="L519" s="7" t="str">
        <f t="shared" si="16"/>
        <v>FB_Temp_PhaseA</v>
      </c>
    </row>
    <row r="520" spans="1:12" x14ac:dyDescent="0.25">
      <c r="A520" s="2">
        <v>507</v>
      </c>
      <c r="B520" s="3" t="s">
        <v>1020</v>
      </c>
      <c r="C520" s="2" t="s">
        <v>1021</v>
      </c>
      <c r="D520" s="2" t="s">
        <v>24</v>
      </c>
      <c r="E520" s="3" t="s">
        <v>1309</v>
      </c>
      <c r="G520" s="18"/>
      <c r="K520" s="7" t="str">
        <f t="shared" si="15"/>
        <v>Pump10</v>
      </c>
      <c r="L520" s="7" t="str">
        <f t="shared" si="16"/>
        <v>FB_Temp_PhaseB</v>
      </c>
    </row>
    <row r="521" spans="1:12" x14ac:dyDescent="0.25">
      <c r="A521" s="2">
        <v>508</v>
      </c>
      <c r="B521" s="3" t="s">
        <v>1022</v>
      </c>
      <c r="C521" s="2" t="s">
        <v>1023</v>
      </c>
      <c r="D521" s="2" t="s">
        <v>24</v>
      </c>
      <c r="E521" s="3" t="s">
        <v>1310</v>
      </c>
      <c r="G521" s="18"/>
      <c r="K521" s="7" t="str">
        <f t="shared" si="15"/>
        <v>Pump10</v>
      </c>
      <c r="L521" s="7" t="str">
        <f t="shared" si="16"/>
        <v>FB_Temp_PhaseC</v>
      </c>
    </row>
    <row r="522" spans="1:12" x14ac:dyDescent="0.25">
      <c r="A522" s="2">
        <v>509</v>
      </c>
      <c r="B522" s="3" t="s">
        <v>1024</v>
      </c>
      <c r="C522" s="2" t="s">
        <v>1025</v>
      </c>
      <c r="D522" s="2" t="s">
        <v>35</v>
      </c>
      <c r="E522" s="3" t="s">
        <v>1315</v>
      </c>
      <c r="G522" s="18"/>
      <c r="K522" s="7" t="str">
        <f t="shared" si="15"/>
        <v>Meter10</v>
      </c>
      <c r="L522" s="7" t="str">
        <f t="shared" si="16"/>
        <v>U1</v>
      </c>
    </row>
    <row r="523" spans="1:12" x14ac:dyDescent="0.25">
      <c r="A523" s="2">
        <v>510</v>
      </c>
      <c r="B523" s="3" t="s">
        <v>1026</v>
      </c>
      <c r="C523" s="2" t="s">
        <v>1027</v>
      </c>
      <c r="D523" s="2" t="s">
        <v>35</v>
      </c>
      <c r="E523" s="3" t="s">
        <v>1316</v>
      </c>
      <c r="G523" s="18"/>
      <c r="K523" s="7" t="str">
        <f t="shared" si="15"/>
        <v>Meter10</v>
      </c>
      <c r="L523" s="7" t="str">
        <f t="shared" si="16"/>
        <v>U2</v>
      </c>
    </row>
    <row r="524" spans="1:12" x14ac:dyDescent="0.25">
      <c r="A524" s="2">
        <v>511</v>
      </c>
      <c r="B524" s="3" t="s">
        <v>1028</v>
      </c>
      <c r="C524" s="2" t="s">
        <v>1029</v>
      </c>
      <c r="D524" s="2" t="s">
        <v>35</v>
      </c>
      <c r="E524" s="3" t="s">
        <v>1317</v>
      </c>
      <c r="G524" s="18"/>
      <c r="K524" s="7" t="str">
        <f t="shared" si="15"/>
        <v>Meter10</v>
      </c>
      <c r="L524" s="7" t="str">
        <f t="shared" si="16"/>
        <v>U3</v>
      </c>
    </row>
    <row r="525" spans="1:12" x14ac:dyDescent="0.25">
      <c r="A525" s="2">
        <v>512</v>
      </c>
      <c r="B525" s="3" t="s">
        <v>1030</v>
      </c>
      <c r="C525" s="2" t="s">
        <v>1031</v>
      </c>
      <c r="D525" s="2" t="s">
        <v>35</v>
      </c>
      <c r="E525" s="3" t="s">
        <v>1318</v>
      </c>
      <c r="G525" s="18"/>
      <c r="K525" s="7" t="str">
        <f t="shared" si="15"/>
        <v>Meter10</v>
      </c>
      <c r="L525" s="7" t="str">
        <f t="shared" si="16"/>
        <v>U_Ph</v>
      </c>
    </row>
    <row r="526" spans="1:12" x14ac:dyDescent="0.25">
      <c r="A526" s="2">
        <v>513</v>
      </c>
      <c r="B526" s="3" t="s">
        <v>1032</v>
      </c>
      <c r="C526" s="2" t="s">
        <v>1033</v>
      </c>
      <c r="D526" s="2" t="s">
        <v>35</v>
      </c>
      <c r="E526" s="3" t="s">
        <v>1319</v>
      </c>
      <c r="G526" s="18"/>
      <c r="H526" t="s">
        <v>1486</v>
      </c>
      <c r="K526" s="7" t="str">
        <f t="shared" si="15"/>
        <v>Meter10</v>
      </c>
      <c r="L526" s="7" t="str">
        <f t="shared" si="16"/>
        <v>U12</v>
      </c>
    </row>
    <row r="527" spans="1:12" x14ac:dyDescent="0.25">
      <c r="A527" s="2">
        <v>514</v>
      </c>
      <c r="B527" s="3" t="s">
        <v>1034</v>
      </c>
      <c r="C527" s="2" t="s">
        <v>1035</v>
      </c>
      <c r="D527" s="2" t="s">
        <v>35</v>
      </c>
      <c r="E527" s="3" t="s">
        <v>1320</v>
      </c>
      <c r="G527" s="18"/>
      <c r="H527" t="s">
        <v>1487</v>
      </c>
      <c r="K527" s="7" t="str">
        <f t="shared" ref="K527:K590" si="17">LEFT(B527, SEARCH("_",B527 ) - 1)</f>
        <v>Meter10</v>
      </c>
      <c r="L527" s="7" t="str">
        <f t="shared" si="16"/>
        <v>U23</v>
      </c>
    </row>
    <row r="528" spans="1:12" x14ac:dyDescent="0.25">
      <c r="A528" s="2">
        <v>515</v>
      </c>
      <c r="B528" s="3" t="s">
        <v>1036</v>
      </c>
      <c r="C528" s="2" t="s">
        <v>1037</v>
      </c>
      <c r="D528" s="2" t="s">
        <v>35</v>
      </c>
      <c r="E528" s="3" t="s">
        <v>1321</v>
      </c>
      <c r="G528" s="18"/>
      <c r="H528" t="s">
        <v>1488</v>
      </c>
      <c r="K528" s="7" t="str">
        <f t="shared" si="17"/>
        <v>Meter10</v>
      </c>
      <c r="L528" s="7" t="str">
        <f t="shared" si="16"/>
        <v>U31</v>
      </c>
    </row>
    <row r="529" spans="1:12" x14ac:dyDescent="0.25">
      <c r="A529" s="2">
        <v>516</v>
      </c>
      <c r="B529" s="3" t="s">
        <v>1038</v>
      </c>
      <c r="C529" s="2" t="s">
        <v>1039</v>
      </c>
      <c r="D529" s="2" t="s">
        <v>35</v>
      </c>
      <c r="E529" s="3" t="s">
        <v>1322</v>
      </c>
      <c r="G529" s="18"/>
      <c r="K529" s="7" t="str">
        <f t="shared" si="17"/>
        <v>Meter10</v>
      </c>
      <c r="L529" s="7" t="str">
        <f t="shared" si="16"/>
        <v>Uline</v>
      </c>
    </row>
    <row r="530" spans="1:12" x14ac:dyDescent="0.25">
      <c r="A530" s="2">
        <v>517</v>
      </c>
      <c r="B530" s="3" t="s">
        <v>1040</v>
      </c>
      <c r="C530" s="2" t="s">
        <v>1041</v>
      </c>
      <c r="D530" s="2" t="s">
        <v>35</v>
      </c>
      <c r="E530" s="3" t="s">
        <v>1312</v>
      </c>
      <c r="G530" s="18"/>
      <c r="H530" s="7" t="s">
        <v>1483</v>
      </c>
      <c r="K530" s="7" t="str">
        <f t="shared" si="17"/>
        <v>Meter10</v>
      </c>
      <c r="L530" s="7" t="str">
        <f t="shared" si="16"/>
        <v>I1</v>
      </c>
    </row>
    <row r="531" spans="1:12" x14ac:dyDescent="0.25">
      <c r="A531" s="2">
        <v>518</v>
      </c>
      <c r="B531" s="3" t="s">
        <v>1042</v>
      </c>
      <c r="C531" s="2" t="s">
        <v>1043</v>
      </c>
      <c r="D531" s="2" t="s">
        <v>35</v>
      </c>
      <c r="E531" s="3" t="s">
        <v>1313</v>
      </c>
      <c r="G531" s="18"/>
      <c r="H531" s="7" t="s">
        <v>1484</v>
      </c>
      <c r="K531" s="7" t="str">
        <f t="shared" si="17"/>
        <v>Meter10</v>
      </c>
      <c r="L531" s="7" t="str">
        <f t="shared" si="16"/>
        <v>I2</v>
      </c>
    </row>
    <row r="532" spans="1:12" x14ac:dyDescent="0.25">
      <c r="A532" s="2">
        <v>519</v>
      </c>
      <c r="B532" s="3" t="s">
        <v>1044</v>
      </c>
      <c r="C532" s="2" t="s">
        <v>1045</v>
      </c>
      <c r="D532" s="2" t="s">
        <v>35</v>
      </c>
      <c r="E532" s="3" t="s">
        <v>1314</v>
      </c>
      <c r="G532" s="18"/>
      <c r="H532" s="7" t="s">
        <v>1485</v>
      </c>
      <c r="K532" s="7" t="str">
        <f t="shared" si="17"/>
        <v>Meter10</v>
      </c>
      <c r="L532" s="7" t="str">
        <f t="shared" ref="L532:L595" si="18">RIGHT(B532, LEN(B532)-SEARCH("_",B532 ))</f>
        <v>I3</v>
      </c>
    </row>
    <row r="533" spans="1:12" x14ac:dyDescent="0.25">
      <c r="A533" s="2">
        <v>520</v>
      </c>
      <c r="B533" s="3" t="s">
        <v>1046</v>
      </c>
      <c r="C533" s="2" t="s">
        <v>1047</v>
      </c>
      <c r="D533" s="2" t="s">
        <v>35</v>
      </c>
      <c r="E533" s="3" t="s">
        <v>1311</v>
      </c>
      <c r="G533" s="18"/>
      <c r="H533" s="3" t="s">
        <v>1311</v>
      </c>
      <c r="K533" s="7" t="str">
        <f t="shared" si="17"/>
        <v>Meter10</v>
      </c>
      <c r="L533" s="7" t="str">
        <f t="shared" si="18"/>
        <v>I_ph</v>
      </c>
    </row>
    <row r="534" spans="1:12" x14ac:dyDescent="0.25">
      <c r="A534" s="2">
        <v>521</v>
      </c>
      <c r="B534" s="3" t="s">
        <v>1048</v>
      </c>
      <c r="C534" s="2" t="s">
        <v>1049</v>
      </c>
      <c r="D534" s="2" t="s">
        <v>35</v>
      </c>
      <c r="E534" s="3" t="s">
        <v>1323</v>
      </c>
      <c r="G534" s="18"/>
      <c r="K534" s="7" t="str">
        <f t="shared" si="17"/>
        <v>Meter10</v>
      </c>
      <c r="L534" s="7" t="str">
        <f t="shared" si="18"/>
        <v>kw1</v>
      </c>
    </row>
    <row r="535" spans="1:12" x14ac:dyDescent="0.25">
      <c r="A535" s="2">
        <v>522</v>
      </c>
      <c r="B535" s="3" t="s">
        <v>1050</v>
      </c>
      <c r="C535" s="2" t="s">
        <v>1051</v>
      </c>
      <c r="D535" s="2" t="s">
        <v>35</v>
      </c>
      <c r="E535" s="3" t="s">
        <v>1324</v>
      </c>
      <c r="G535" s="18"/>
      <c r="K535" s="7" t="str">
        <f t="shared" si="17"/>
        <v>Meter10</v>
      </c>
      <c r="L535" s="7" t="str">
        <f t="shared" si="18"/>
        <v>kw2</v>
      </c>
    </row>
    <row r="536" spans="1:12" x14ac:dyDescent="0.25">
      <c r="A536" s="2">
        <v>523</v>
      </c>
      <c r="B536" s="3" t="s">
        <v>1052</v>
      </c>
      <c r="C536" s="2" t="s">
        <v>1053</v>
      </c>
      <c r="D536" s="2" t="s">
        <v>35</v>
      </c>
      <c r="E536" s="3" t="s">
        <v>1325</v>
      </c>
      <c r="G536" s="18"/>
      <c r="K536" s="7" t="str">
        <f t="shared" si="17"/>
        <v>Meter10</v>
      </c>
      <c r="L536" s="7" t="str">
        <f t="shared" si="18"/>
        <v>kw3</v>
      </c>
    </row>
    <row r="537" spans="1:12" x14ac:dyDescent="0.25">
      <c r="A537" s="2">
        <v>524</v>
      </c>
      <c r="B537" s="3" t="s">
        <v>1054</v>
      </c>
      <c r="C537" s="2" t="s">
        <v>1055</v>
      </c>
      <c r="D537" s="2" t="s">
        <v>35</v>
      </c>
      <c r="E537" s="3" t="s">
        <v>1326</v>
      </c>
      <c r="G537" s="18"/>
      <c r="K537" s="7" t="str">
        <f t="shared" si="17"/>
        <v>Meter10</v>
      </c>
      <c r="L537" s="7" t="str">
        <f t="shared" si="18"/>
        <v>kva1</v>
      </c>
    </row>
    <row r="538" spans="1:12" x14ac:dyDescent="0.25">
      <c r="A538" s="2">
        <v>525</v>
      </c>
      <c r="B538" s="3" t="s">
        <v>1056</v>
      </c>
      <c r="C538" s="2" t="s">
        <v>1057</v>
      </c>
      <c r="D538" s="2" t="s">
        <v>35</v>
      </c>
      <c r="E538" s="3" t="s">
        <v>1327</v>
      </c>
      <c r="G538" s="18"/>
      <c r="K538" s="7" t="str">
        <f t="shared" si="17"/>
        <v>Meter10</v>
      </c>
      <c r="L538" s="7" t="str">
        <f t="shared" si="18"/>
        <v>kva2</v>
      </c>
    </row>
    <row r="539" spans="1:12" x14ac:dyDescent="0.25">
      <c r="A539" s="2">
        <v>526</v>
      </c>
      <c r="B539" s="3" t="s">
        <v>1058</v>
      </c>
      <c r="C539" s="2" t="s">
        <v>1059</v>
      </c>
      <c r="D539" s="2" t="s">
        <v>35</v>
      </c>
      <c r="E539" s="3" t="s">
        <v>1328</v>
      </c>
      <c r="G539" s="18"/>
      <c r="K539" s="7" t="str">
        <f t="shared" si="17"/>
        <v>Meter10</v>
      </c>
      <c r="L539" s="7" t="str">
        <f t="shared" si="18"/>
        <v>kva3</v>
      </c>
    </row>
    <row r="540" spans="1:12" x14ac:dyDescent="0.25">
      <c r="A540" s="2">
        <v>527</v>
      </c>
      <c r="B540" s="3" t="s">
        <v>1060</v>
      </c>
      <c r="C540" s="2" t="s">
        <v>1061</v>
      </c>
      <c r="D540" s="2" t="s">
        <v>35</v>
      </c>
      <c r="E540" s="3" t="s">
        <v>1329</v>
      </c>
      <c r="G540" s="18"/>
      <c r="K540" s="7" t="str">
        <f t="shared" si="17"/>
        <v>Meter10</v>
      </c>
      <c r="L540" s="7" t="str">
        <f t="shared" si="18"/>
        <v>kvar1</v>
      </c>
    </row>
    <row r="541" spans="1:12" x14ac:dyDescent="0.25">
      <c r="A541" s="2">
        <v>528</v>
      </c>
      <c r="B541" s="3" t="s">
        <v>1062</v>
      </c>
      <c r="C541" s="2" t="s">
        <v>1063</v>
      </c>
      <c r="D541" s="2" t="s">
        <v>35</v>
      </c>
      <c r="E541" s="3" t="s">
        <v>1330</v>
      </c>
      <c r="G541" s="18"/>
      <c r="K541" s="7" t="str">
        <f t="shared" si="17"/>
        <v>Meter10</v>
      </c>
      <c r="L541" s="7" t="str">
        <f t="shared" si="18"/>
        <v>kvar2</v>
      </c>
    </row>
    <row r="542" spans="1:12" x14ac:dyDescent="0.25">
      <c r="A542" s="2">
        <v>529</v>
      </c>
      <c r="B542" s="3" t="s">
        <v>1064</v>
      </c>
      <c r="C542" s="2" t="s">
        <v>1065</v>
      </c>
      <c r="D542" s="2" t="s">
        <v>35</v>
      </c>
      <c r="E542" s="3" t="s">
        <v>1331</v>
      </c>
      <c r="G542" s="18"/>
      <c r="K542" s="7" t="str">
        <f t="shared" si="17"/>
        <v>Meter10</v>
      </c>
      <c r="L542" s="7" t="str">
        <f t="shared" si="18"/>
        <v>kvar3</v>
      </c>
    </row>
    <row r="543" spans="1:12" x14ac:dyDescent="0.25">
      <c r="A543" s="2">
        <v>530</v>
      </c>
      <c r="B543" s="3" t="s">
        <v>1066</v>
      </c>
      <c r="C543" s="2" t="s">
        <v>1067</v>
      </c>
      <c r="D543" s="2" t="s">
        <v>35</v>
      </c>
      <c r="E543" s="3" t="s">
        <v>1332</v>
      </c>
      <c r="G543" s="18"/>
      <c r="K543" s="7" t="str">
        <f t="shared" si="17"/>
        <v>Meter10</v>
      </c>
      <c r="L543" s="7" t="str">
        <f t="shared" si="18"/>
        <v>total_kw</v>
      </c>
    </row>
    <row r="544" spans="1:12" x14ac:dyDescent="0.25">
      <c r="A544" s="2">
        <v>531</v>
      </c>
      <c r="B544" s="3" t="s">
        <v>1068</v>
      </c>
      <c r="C544" s="2" t="s">
        <v>1069</v>
      </c>
      <c r="D544" s="2" t="s">
        <v>35</v>
      </c>
      <c r="E544" s="3" t="s">
        <v>1333</v>
      </c>
      <c r="G544" s="18"/>
      <c r="K544" s="7" t="str">
        <f t="shared" si="17"/>
        <v>Meter10</v>
      </c>
      <c r="L544" s="7" t="str">
        <f t="shared" si="18"/>
        <v>total_kva</v>
      </c>
    </row>
    <row r="545" spans="1:12" x14ac:dyDescent="0.25">
      <c r="A545" s="2">
        <v>532</v>
      </c>
      <c r="B545" s="3" t="s">
        <v>1070</v>
      </c>
      <c r="C545" s="2" t="s">
        <v>1071</v>
      </c>
      <c r="D545" s="2" t="s">
        <v>35</v>
      </c>
      <c r="E545" s="3" t="s">
        <v>1334</v>
      </c>
      <c r="G545" s="18"/>
      <c r="K545" s="7" t="str">
        <f t="shared" si="17"/>
        <v>Meter10</v>
      </c>
      <c r="L545" s="7" t="str">
        <f t="shared" si="18"/>
        <v>total_kvar</v>
      </c>
    </row>
    <row r="546" spans="1:12" x14ac:dyDescent="0.25">
      <c r="A546" s="2">
        <v>533</v>
      </c>
      <c r="B546" s="3" t="s">
        <v>1072</v>
      </c>
      <c r="C546" s="2" t="s">
        <v>1073</v>
      </c>
      <c r="D546" s="2" t="s">
        <v>35</v>
      </c>
      <c r="E546" s="3" t="s">
        <v>1335</v>
      </c>
      <c r="G546" s="18"/>
      <c r="K546" s="7" t="str">
        <f t="shared" si="17"/>
        <v>Meter10</v>
      </c>
      <c r="L546" s="7" t="str">
        <f t="shared" si="18"/>
        <v>PF1</v>
      </c>
    </row>
    <row r="547" spans="1:12" x14ac:dyDescent="0.25">
      <c r="A547" s="2">
        <v>534</v>
      </c>
      <c r="B547" s="3" t="s">
        <v>1074</v>
      </c>
      <c r="C547" s="2" t="s">
        <v>1075</v>
      </c>
      <c r="D547" s="2" t="s">
        <v>35</v>
      </c>
      <c r="E547" s="3" t="s">
        <v>1336</v>
      </c>
      <c r="G547" s="18"/>
      <c r="K547" s="7" t="str">
        <f t="shared" si="17"/>
        <v>Meter10</v>
      </c>
      <c r="L547" s="7" t="str">
        <f t="shared" si="18"/>
        <v>PF2</v>
      </c>
    </row>
    <row r="548" spans="1:12" x14ac:dyDescent="0.25">
      <c r="A548" s="2">
        <v>535</v>
      </c>
      <c r="B548" s="3" t="s">
        <v>1076</v>
      </c>
      <c r="C548" s="2" t="s">
        <v>1077</v>
      </c>
      <c r="D548" s="2" t="s">
        <v>35</v>
      </c>
      <c r="E548" s="3" t="s">
        <v>1337</v>
      </c>
      <c r="G548" s="18"/>
      <c r="K548" s="7" t="str">
        <f t="shared" si="17"/>
        <v>Meter10</v>
      </c>
      <c r="L548" s="7" t="str">
        <f t="shared" si="18"/>
        <v>PF3</v>
      </c>
    </row>
    <row r="549" spans="1:12" x14ac:dyDescent="0.25">
      <c r="A549" s="2">
        <v>536</v>
      </c>
      <c r="B549" s="3" t="s">
        <v>1078</v>
      </c>
      <c r="C549" s="2" t="s">
        <v>1079</v>
      </c>
      <c r="D549" s="2" t="s">
        <v>35</v>
      </c>
      <c r="E549" s="3" t="s">
        <v>1338</v>
      </c>
      <c r="G549" s="18"/>
      <c r="K549" s="7" t="str">
        <f t="shared" si="17"/>
        <v>Meter10</v>
      </c>
      <c r="L549" s="7" t="str">
        <f t="shared" si="18"/>
        <v>PF</v>
      </c>
    </row>
    <row r="550" spans="1:12" x14ac:dyDescent="0.25">
      <c r="A550" s="2">
        <v>537</v>
      </c>
      <c r="B550" s="3" t="s">
        <v>1080</v>
      </c>
      <c r="C550" s="2" t="s">
        <v>1081</v>
      </c>
      <c r="D550" s="2" t="s">
        <v>35</v>
      </c>
      <c r="E550" s="3" t="s">
        <v>1339</v>
      </c>
      <c r="G550" s="18"/>
      <c r="K550" s="7" t="str">
        <f t="shared" si="17"/>
        <v>Meter10</v>
      </c>
      <c r="L550" s="7" t="str">
        <f t="shared" si="18"/>
        <v>freq</v>
      </c>
    </row>
    <row r="551" spans="1:12" x14ac:dyDescent="0.25">
      <c r="A551" s="2">
        <v>538</v>
      </c>
      <c r="B551" s="3" t="s">
        <v>1082</v>
      </c>
      <c r="C551" s="2" t="s">
        <v>1083</v>
      </c>
      <c r="D551" s="2" t="s">
        <v>35</v>
      </c>
      <c r="E551" s="3" t="s">
        <v>1340</v>
      </c>
      <c r="G551" s="18"/>
      <c r="K551" s="7" t="str">
        <f t="shared" si="17"/>
        <v>Meter10</v>
      </c>
      <c r="L551" s="7" t="str">
        <f t="shared" si="18"/>
        <v>kwh</v>
      </c>
    </row>
    <row r="552" spans="1:12" x14ac:dyDescent="0.25">
      <c r="A552" s="2">
        <v>539</v>
      </c>
      <c r="B552" s="3" t="s">
        <v>1084</v>
      </c>
      <c r="C552" s="2" t="s">
        <v>1085</v>
      </c>
      <c r="D552" s="2" t="s">
        <v>35</v>
      </c>
      <c r="E552" s="3" t="s">
        <v>1341</v>
      </c>
      <c r="G552" s="18"/>
      <c r="K552" s="7" t="str">
        <f t="shared" si="17"/>
        <v>Meter10</v>
      </c>
      <c r="L552" s="7" t="str">
        <f t="shared" si="18"/>
        <v>kvah</v>
      </c>
    </row>
    <row r="553" spans="1:12" x14ac:dyDescent="0.25">
      <c r="A553" s="2">
        <v>540</v>
      </c>
      <c r="B553" s="3" t="s">
        <v>1086</v>
      </c>
      <c r="C553" s="2" t="s">
        <v>1087</v>
      </c>
      <c r="D553" s="2" t="s">
        <v>35</v>
      </c>
      <c r="E553" s="3" t="s">
        <v>1342</v>
      </c>
      <c r="G553" s="18"/>
      <c r="K553" s="7" t="str">
        <f t="shared" si="17"/>
        <v>Meter10</v>
      </c>
      <c r="L553" s="7" t="str">
        <f t="shared" si="18"/>
        <v>kvarh</v>
      </c>
    </row>
    <row r="554" spans="1:12" x14ac:dyDescent="0.25">
      <c r="A554" s="2">
        <v>541</v>
      </c>
      <c r="B554" s="3" t="s">
        <v>1088</v>
      </c>
      <c r="C554" s="2" t="s">
        <v>1089</v>
      </c>
      <c r="D554" s="2" t="s">
        <v>7</v>
      </c>
      <c r="E554" s="3" t="s">
        <v>1343</v>
      </c>
      <c r="G554" s="18"/>
      <c r="K554" s="7" t="str">
        <f t="shared" si="17"/>
        <v>Pump10</v>
      </c>
      <c r="L554" s="7" t="str">
        <f t="shared" si="18"/>
        <v>Ctrl_run_Pump</v>
      </c>
    </row>
    <row r="555" spans="1:12" x14ac:dyDescent="0.25">
      <c r="A555" s="2">
        <v>542</v>
      </c>
      <c r="B555" s="3" t="s">
        <v>1090</v>
      </c>
      <c r="C555" s="2" t="s">
        <v>1091</v>
      </c>
      <c r="D555" s="2" t="s">
        <v>7</v>
      </c>
      <c r="E555" s="3" t="s">
        <v>1354</v>
      </c>
      <c r="G555" s="18"/>
      <c r="H555" t="s">
        <v>1496</v>
      </c>
      <c r="K555" s="7" t="str">
        <f t="shared" si="17"/>
        <v>Pump10</v>
      </c>
      <c r="L555" s="7" t="str">
        <f t="shared" si="18"/>
        <v>FB_Fault</v>
      </c>
    </row>
    <row r="556" spans="1:12" x14ac:dyDescent="0.25">
      <c r="A556" s="2">
        <v>543</v>
      </c>
      <c r="B556" s="3" t="s">
        <v>1092</v>
      </c>
      <c r="C556" s="2" t="s">
        <v>1093</v>
      </c>
      <c r="D556" s="2" t="s">
        <v>7</v>
      </c>
      <c r="E556" s="3" t="s">
        <v>1344</v>
      </c>
      <c r="G556" s="18"/>
      <c r="K556" s="7" t="str">
        <f t="shared" si="17"/>
        <v>Pump10</v>
      </c>
      <c r="L556" s="7" t="str">
        <f t="shared" si="18"/>
        <v>Ctrl_PB_Run</v>
      </c>
    </row>
    <row r="557" spans="1:12" x14ac:dyDescent="0.25">
      <c r="A557" s="2">
        <v>544</v>
      </c>
      <c r="B557" s="3" t="s">
        <v>1094</v>
      </c>
      <c r="C557" s="2" t="s">
        <v>1095</v>
      </c>
      <c r="D557" s="2" t="s">
        <v>7</v>
      </c>
      <c r="E557" s="3" t="s">
        <v>1345</v>
      </c>
      <c r="G557" s="18"/>
      <c r="K557" s="7" t="str">
        <f t="shared" si="17"/>
        <v>Pump10</v>
      </c>
      <c r="L557" s="7" t="str">
        <f t="shared" si="18"/>
        <v>Ctrl_PB_Stop</v>
      </c>
    </row>
    <row r="558" spans="1:12" x14ac:dyDescent="0.25">
      <c r="A558" s="2">
        <v>545</v>
      </c>
      <c r="B558" s="3" t="s">
        <v>1096</v>
      </c>
      <c r="C558" s="2" t="s">
        <v>1097</v>
      </c>
      <c r="D558" s="2" t="s">
        <v>7</v>
      </c>
      <c r="E558" s="3" t="s">
        <v>1346</v>
      </c>
      <c r="G558" s="18"/>
      <c r="K558" s="7" t="str">
        <f t="shared" si="17"/>
        <v>Pump10</v>
      </c>
      <c r="L558" s="7" t="str">
        <f t="shared" si="18"/>
        <v>Ctrl_PB_RST</v>
      </c>
    </row>
    <row r="559" spans="1:12" x14ac:dyDescent="0.25">
      <c r="A559" s="2">
        <v>546</v>
      </c>
      <c r="B559" s="3" t="s">
        <v>1098</v>
      </c>
      <c r="C559" s="2" t="s">
        <v>1099</v>
      </c>
      <c r="D559" s="2" t="s">
        <v>24</v>
      </c>
      <c r="E559" s="3" t="s">
        <v>1347</v>
      </c>
      <c r="G559" s="18"/>
      <c r="K559" s="7" t="str">
        <f t="shared" si="17"/>
        <v>Pump10</v>
      </c>
      <c r="L559" s="7" t="str">
        <f t="shared" si="18"/>
        <v>Time_Run_M</v>
      </c>
    </row>
    <row r="560" spans="1:12" x14ac:dyDescent="0.25">
      <c r="A560" s="2">
        <v>547</v>
      </c>
      <c r="B560" s="3" t="s">
        <v>1100</v>
      </c>
      <c r="C560" s="2" t="s">
        <v>1101</v>
      </c>
      <c r="D560" s="2" t="s">
        <v>24</v>
      </c>
      <c r="E560" s="3" t="s">
        <v>1348</v>
      </c>
      <c r="G560" s="18"/>
      <c r="K560" s="7" t="str">
        <f t="shared" si="17"/>
        <v>Pump10</v>
      </c>
      <c r="L560" s="7" t="str">
        <f t="shared" si="18"/>
        <v>Time_Run_H</v>
      </c>
    </row>
    <row r="561" spans="1:12" x14ac:dyDescent="0.25">
      <c r="A561" s="2">
        <v>548</v>
      </c>
      <c r="B561" s="3" t="s">
        <v>1102</v>
      </c>
      <c r="C561" s="2" t="s">
        <v>1103</v>
      </c>
      <c r="D561" s="2" t="s">
        <v>24</v>
      </c>
      <c r="E561" s="3" t="s">
        <v>1349</v>
      </c>
      <c r="G561" s="18"/>
      <c r="K561" s="7" t="str">
        <f t="shared" si="17"/>
        <v>Pump10</v>
      </c>
      <c r="L561" s="7" t="str">
        <f t="shared" si="18"/>
        <v>Total_Time_Run_M</v>
      </c>
    </row>
    <row r="562" spans="1:12" x14ac:dyDescent="0.25">
      <c r="A562" s="2">
        <v>549</v>
      </c>
      <c r="B562" s="3" t="s">
        <v>1104</v>
      </c>
      <c r="C562" s="2" t="s">
        <v>1105</v>
      </c>
      <c r="D562" s="2" t="s">
        <v>24</v>
      </c>
      <c r="E562" s="3" t="s">
        <v>1350</v>
      </c>
      <c r="G562" s="18"/>
      <c r="H562" t="s">
        <v>1407</v>
      </c>
      <c r="K562" s="7" t="str">
        <f t="shared" si="17"/>
        <v>Pump10</v>
      </c>
      <c r="L562" s="7" t="str">
        <f t="shared" si="18"/>
        <v>Total_Time_Run_H</v>
      </c>
    </row>
    <row r="563" spans="1:12" x14ac:dyDescent="0.25">
      <c r="A563" s="2">
        <v>550</v>
      </c>
      <c r="B563" s="3" t="s">
        <v>1106</v>
      </c>
      <c r="C563" s="2" t="s">
        <v>1107</v>
      </c>
      <c r="D563" s="2" t="s">
        <v>24</v>
      </c>
      <c r="E563" s="3" t="s">
        <v>1351</v>
      </c>
      <c r="G563" s="18"/>
      <c r="K563" s="7" t="str">
        <f t="shared" si="17"/>
        <v>Pump10</v>
      </c>
      <c r="L563" s="7" t="str">
        <f t="shared" si="18"/>
        <v>NumberOfclose</v>
      </c>
    </row>
    <row r="564" spans="1:12" ht="15" customHeight="1" x14ac:dyDescent="0.25">
      <c r="A564" s="2">
        <v>551</v>
      </c>
      <c r="B564" s="3" t="s">
        <v>1108</v>
      </c>
      <c r="C564" s="2" t="s">
        <v>1109</v>
      </c>
      <c r="D564" s="2" t="s">
        <v>35</v>
      </c>
      <c r="E564" s="3" t="s">
        <v>1315</v>
      </c>
      <c r="G564" s="19" t="s">
        <v>1480</v>
      </c>
      <c r="H564" s="16"/>
      <c r="K564" s="7" t="str">
        <f t="shared" si="17"/>
        <v>Meter0</v>
      </c>
      <c r="L564" s="7" t="str">
        <f t="shared" si="18"/>
        <v>U1</v>
      </c>
    </row>
    <row r="565" spans="1:12" x14ac:dyDescent="0.25">
      <c r="A565" s="2">
        <v>552</v>
      </c>
      <c r="B565" s="3" t="s">
        <v>1110</v>
      </c>
      <c r="C565" s="2" t="s">
        <v>1111</v>
      </c>
      <c r="D565" s="2" t="s">
        <v>35</v>
      </c>
      <c r="E565" s="3" t="s">
        <v>1316</v>
      </c>
      <c r="G565" s="19"/>
      <c r="H565" s="16"/>
      <c r="K565" s="7" t="str">
        <f t="shared" si="17"/>
        <v>Meter0</v>
      </c>
      <c r="L565" s="7" t="str">
        <f t="shared" si="18"/>
        <v>U2</v>
      </c>
    </row>
    <row r="566" spans="1:12" x14ac:dyDescent="0.25">
      <c r="A566" s="2">
        <v>553</v>
      </c>
      <c r="B566" s="3" t="s">
        <v>1112</v>
      </c>
      <c r="C566" s="2" t="s">
        <v>1113</v>
      </c>
      <c r="D566" s="2" t="s">
        <v>35</v>
      </c>
      <c r="E566" s="3" t="s">
        <v>1317</v>
      </c>
      <c r="G566" s="19"/>
      <c r="H566" s="16"/>
      <c r="K566" s="7" t="str">
        <f t="shared" si="17"/>
        <v>Meter0</v>
      </c>
      <c r="L566" s="7" t="str">
        <f t="shared" si="18"/>
        <v>U3</v>
      </c>
    </row>
    <row r="567" spans="1:12" x14ac:dyDescent="0.25">
      <c r="A567" s="2">
        <v>554</v>
      </c>
      <c r="B567" s="3" t="s">
        <v>1114</v>
      </c>
      <c r="C567" s="2" t="s">
        <v>1115</v>
      </c>
      <c r="D567" s="2" t="s">
        <v>35</v>
      </c>
      <c r="E567" s="3" t="s">
        <v>1318</v>
      </c>
      <c r="G567" s="19"/>
      <c r="H567" s="16"/>
      <c r="K567" s="7" t="str">
        <f t="shared" si="17"/>
        <v>Meter0</v>
      </c>
      <c r="L567" s="7" t="str">
        <f t="shared" si="18"/>
        <v>U_Ph</v>
      </c>
    </row>
    <row r="568" spans="1:12" x14ac:dyDescent="0.25">
      <c r="A568" s="2">
        <v>555</v>
      </c>
      <c r="B568" s="3" t="s">
        <v>1116</v>
      </c>
      <c r="C568" s="2" t="s">
        <v>1117</v>
      </c>
      <c r="D568" s="2" t="s">
        <v>35</v>
      </c>
      <c r="E568" s="3" t="s">
        <v>1319</v>
      </c>
      <c r="G568" s="19"/>
      <c r="H568" s="3" t="s">
        <v>1319</v>
      </c>
      <c r="K568" s="7" t="str">
        <f t="shared" si="17"/>
        <v>Meter0</v>
      </c>
      <c r="L568" s="7" t="str">
        <f t="shared" si="18"/>
        <v>U12</v>
      </c>
    </row>
    <row r="569" spans="1:12" x14ac:dyDescent="0.25">
      <c r="A569" s="2">
        <v>556</v>
      </c>
      <c r="B569" s="3" t="s">
        <v>1118</v>
      </c>
      <c r="C569" s="2" t="s">
        <v>1119</v>
      </c>
      <c r="D569" s="2" t="s">
        <v>35</v>
      </c>
      <c r="E569" s="3" t="s">
        <v>1320</v>
      </c>
      <c r="G569" s="19"/>
      <c r="H569" s="3" t="s">
        <v>1320</v>
      </c>
      <c r="K569" s="7" t="str">
        <f t="shared" si="17"/>
        <v>Meter0</v>
      </c>
      <c r="L569" s="7" t="str">
        <f t="shared" si="18"/>
        <v>U23</v>
      </c>
    </row>
    <row r="570" spans="1:12" x14ac:dyDescent="0.25">
      <c r="A570" s="2">
        <v>557</v>
      </c>
      <c r="B570" s="3" t="s">
        <v>1120</v>
      </c>
      <c r="C570" s="2" t="s">
        <v>1121</v>
      </c>
      <c r="D570" s="2" t="s">
        <v>35</v>
      </c>
      <c r="E570" s="3" t="s">
        <v>1321</v>
      </c>
      <c r="G570" s="19"/>
      <c r="H570" s="3" t="s">
        <v>1321</v>
      </c>
      <c r="K570" s="7" t="str">
        <f t="shared" si="17"/>
        <v>Meter0</v>
      </c>
      <c r="L570" s="7" t="str">
        <f t="shared" si="18"/>
        <v>U31</v>
      </c>
    </row>
    <row r="571" spans="1:12" x14ac:dyDescent="0.25">
      <c r="A571" s="2">
        <v>558</v>
      </c>
      <c r="B571" s="3" t="s">
        <v>1122</v>
      </c>
      <c r="C571" s="2" t="s">
        <v>1123</v>
      </c>
      <c r="D571" s="2" t="s">
        <v>35</v>
      </c>
      <c r="E571" s="3" t="s">
        <v>1322</v>
      </c>
      <c r="G571" s="19"/>
      <c r="H571" s="16"/>
      <c r="K571" s="7" t="str">
        <f t="shared" si="17"/>
        <v>Meter0</v>
      </c>
      <c r="L571" s="7" t="str">
        <f t="shared" si="18"/>
        <v>Uline</v>
      </c>
    </row>
    <row r="572" spans="1:12" x14ac:dyDescent="0.25">
      <c r="A572" s="2">
        <v>559</v>
      </c>
      <c r="B572" s="3" t="s">
        <v>1124</v>
      </c>
      <c r="C572" s="2" t="s">
        <v>1125</v>
      </c>
      <c r="D572" s="2" t="s">
        <v>35</v>
      </c>
      <c r="E572" s="3" t="s">
        <v>1312</v>
      </c>
      <c r="G572" s="19"/>
      <c r="H572" s="16"/>
      <c r="K572" s="7" t="str">
        <f t="shared" si="17"/>
        <v>Meter0</v>
      </c>
      <c r="L572" s="7" t="str">
        <f t="shared" si="18"/>
        <v>I1</v>
      </c>
    </row>
    <row r="573" spans="1:12" x14ac:dyDescent="0.25">
      <c r="A573" s="2">
        <v>560</v>
      </c>
      <c r="B573" s="3" t="s">
        <v>1126</v>
      </c>
      <c r="C573" s="2" t="s">
        <v>1127</v>
      </c>
      <c r="D573" s="2" t="s">
        <v>35</v>
      </c>
      <c r="E573" s="3" t="s">
        <v>1313</v>
      </c>
      <c r="G573" s="19"/>
      <c r="H573" s="16"/>
      <c r="K573" s="7" t="str">
        <f t="shared" si="17"/>
        <v>Meter0</v>
      </c>
      <c r="L573" s="7" t="str">
        <f t="shared" si="18"/>
        <v>I2</v>
      </c>
    </row>
    <row r="574" spans="1:12" x14ac:dyDescent="0.25">
      <c r="A574" s="2">
        <v>561</v>
      </c>
      <c r="B574" s="3" t="s">
        <v>1128</v>
      </c>
      <c r="C574" s="2" t="s">
        <v>1129</v>
      </c>
      <c r="D574" s="2" t="s">
        <v>35</v>
      </c>
      <c r="E574" s="3" t="s">
        <v>1314</v>
      </c>
      <c r="G574" s="19"/>
      <c r="H574" s="16"/>
      <c r="K574" s="7" t="str">
        <f t="shared" si="17"/>
        <v>Meter0</v>
      </c>
      <c r="L574" s="7" t="str">
        <f t="shared" si="18"/>
        <v>I3</v>
      </c>
    </row>
    <row r="575" spans="1:12" x14ac:dyDescent="0.25">
      <c r="A575" s="2">
        <v>562</v>
      </c>
      <c r="B575" s="3" t="s">
        <v>1130</v>
      </c>
      <c r="C575" s="2" t="s">
        <v>1131</v>
      </c>
      <c r="D575" s="2" t="s">
        <v>35</v>
      </c>
      <c r="E575" s="3" t="s">
        <v>1311</v>
      </c>
      <c r="G575" s="19"/>
      <c r="H575" s="3" t="s">
        <v>1311</v>
      </c>
      <c r="K575" s="7" t="str">
        <f t="shared" si="17"/>
        <v>Meter0</v>
      </c>
      <c r="L575" s="7" t="str">
        <f t="shared" si="18"/>
        <v>I_ph</v>
      </c>
    </row>
    <row r="576" spans="1:12" x14ac:dyDescent="0.25">
      <c r="A576" s="2">
        <v>563</v>
      </c>
      <c r="B576" s="3" t="s">
        <v>1132</v>
      </c>
      <c r="C576" s="2" t="s">
        <v>1133</v>
      </c>
      <c r="D576" s="2" t="s">
        <v>35</v>
      </c>
      <c r="E576" s="3" t="s">
        <v>1323</v>
      </c>
      <c r="G576" s="19"/>
      <c r="H576" s="16"/>
      <c r="K576" s="7" t="str">
        <f t="shared" si="17"/>
        <v>Meter0</v>
      </c>
      <c r="L576" s="7" t="str">
        <f t="shared" si="18"/>
        <v>kw1</v>
      </c>
    </row>
    <row r="577" spans="1:12" x14ac:dyDescent="0.25">
      <c r="A577" s="2">
        <v>564</v>
      </c>
      <c r="B577" s="3" t="s">
        <v>1134</v>
      </c>
      <c r="C577" s="2" t="s">
        <v>1135</v>
      </c>
      <c r="D577" s="2" t="s">
        <v>35</v>
      </c>
      <c r="E577" s="3" t="s">
        <v>1324</v>
      </c>
      <c r="G577" s="19"/>
      <c r="H577" s="16"/>
      <c r="K577" s="7" t="str">
        <f t="shared" si="17"/>
        <v>Meter0</v>
      </c>
      <c r="L577" s="7" t="str">
        <f t="shared" si="18"/>
        <v>kw2</v>
      </c>
    </row>
    <row r="578" spans="1:12" x14ac:dyDescent="0.25">
      <c r="A578" s="2">
        <v>565</v>
      </c>
      <c r="B578" s="3" t="s">
        <v>1136</v>
      </c>
      <c r="C578" s="2" t="s">
        <v>1137</v>
      </c>
      <c r="D578" s="2" t="s">
        <v>35</v>
      </c>
      <c r="E578" s="3" t="s">
        <v>1325</v>
      </c>
      <c r="G578" s="19"/>
      <c r="H578" s="16"/>
      <c r="K578" s="7" t="str">
        <f t="shared" si="17"/>
        <v>Meter0</v>
      </c>
      <c r="L578" s="7" t="str">
        <f t="shared" si="18"/>
        <v>kw3</v>
      </c>
    </row>
    <row r="579" spans="1:12" x14ac:dyDescent="0.25">
      <c r="A579" s="2">
        <v>566</v>
      </c>
      <c r="B579" s="3" t="s">
        <v>1138</v>
      </c>
      <c r="C579" s="2" t="s">
        <v>1139</v>
      </c>
      <c r="D579" s="2" t="s">
        <v>35</v>
      </c>
      <c r="E579" s="3" t="s">
        <v>1326</v>
      </c>
      <c r="G579" s="19"/>
      <c r="H579" s="16"/>
      <c r="K579" s="7" t="str">
        <f t="shared" si="17"/>
        <v>Meter0</v>
      </c>
      <c r="L579" s="7" t="str">
        <f t="shared" si="18"/>
        <v>kva1</v>
      </c>
    </row>
    <row r="580" spans="1:12" x14ac:dyDescent="0.25">
      <c r="A580" s="2">
        <v>567</v>
      </c>
      <c r="B580" s="3" t="s">
        <v>1140</v>
      </c>
      <c r="C580" s="2" t="s">
        <v>1141</v>
      </c>
      <c r="D580" s="2" t="s">
        <v>35</v>
      </c>
      <c r="E580" s="3" t="s">
        <v>1327</v>
      </c>
      <c r="G580" s="19"/>
      <c r="H580" s="16"/>
      <c r="K580" s="7" t="str">
        <f t="shared" si="17"/>
        <v>Meter0</v>
      </c>
      <c r="L580" s="7" t="str">
        <f t="shared" si="18"/>
        <v>kva2</v>
      </c>
    </row>
    <row r="581" spans="1:12" x14ac:dyDescent="0.25">
      <c r="A581" s="2">
        <v>568</v>
      </c>
      <c r="B581" s="3" t="s">
        <v>1142</v>
      </c>
      <c r="C581" s="2" t="s">
        <v>1143</v>
      </c>
      <c r="D581" s="2" t="s">
        <v>35</v>
      </c>
      <c r="E581" s="3" t="s">
        <v>1328</v>
      </c>
      <c r="G581" s="19"/>
      <c r="H581" s="16"/>
      <c r="K581" s="7" t="str">
        <f t="shared" si="17"/>
        <v>Meter0</v>
      </c>
      <c r="L581" s="7" t="str">
        <f t="shared" si="18"/>
        <v>kva3</v>
      </c>
    </row>
    <row r="582" spans="1:12" x14ac:dyDescent="0.25">
      <c r="A582" s="2">
        <v>569</v>
      </c>
      <c r="B582" s="3" t="s">
        <v>1144</v>
      </c>
      <c r="C582" s="2" t="s">
        <v>1145</v>
      </c>
      <c r="D582" s="2" t="s">
        <v>35</v>
      </c>
      <c r="E582" s="3" t="s">
        <v>1329</v>
      </c>
      <c r="G582" s="19"/>
      <c r="H582" s="16"/>
      <c r="K582" s="7" t="str">
        <f t="shared" si="17"/>
        <v>Meter0</v>
      </c>
      <c r="L582" s="7" t="str">
        <f t="shared" si="18"/>
        <v>kvar1</v>
      </c>
    </row>
    <row r="583" spans="1:12" x14ac:dyDescent="0.25">
      <c r="A583" s="2">
        <v>570</v>
      </c>
      <c r="B583" s="3" t="s">
        <v>1146</v>
      </c>
      <c r="C583" s="2" t="s">
        <v>1147</v>
      </c>
      <c r="D583" s="2" t="s">
        <v>35</v>
      </c>
      <c r="E583" s="3" t="s">
        <v>1330</v>
      </c>
      <c r="G583" s="19"/>
      <c r="H583" s="16"/>
      <c r="K583" s="7" t="str">
        <f t="shared" si="17"/>
        <v>Meter0</v>
      </c>
      <c r="L583" s="7" t="str">
        <f t="shared" si="18"/>
        <v>kvar2</v>
      </c>
    </row>
    <row r="584" spans="1:12" x14ac:dyDescent="0.25">
      <c r="A584" s="2">
        <v>571</v>
      </c>
      <c r="B584" s="3" t="s">
        <v>1148</v>
      </c>
      <c r="C584" s="2" t="s">
        <v>1149</v>
      </c>
      <c r="D584" s="2" t="s">
        <v>35</v>
      </c>
      <c r="E584" s="3" t="s">
        <v>1331</v>
      </c>
      <c r="G584" s="19"/>
      <c r="H584" s="16"/>
      <c r="K584" s="7" t="str">
        <f t="shared" si="17"/>
        <v>Meter0</v>
      </c>
      <c r="L584" s="7" t="str">
        <f t="shared" si="18"/>
        <v>kvar3</v>
      </c>
    </row>
    <row r="585" spans="1:12" x14ac:dyDescent="0.25">
      <c r="A585" s="2">
        <v>572</v>
      </c>
      <c r="B585" s="3" t="s">
        <v>1150</v>
      </c>
      <c r="C585" s="2" t="s">
        <v>1151</v>
      </c>
      <c r="D585" s="2" t="s">
        <v>35</v>
      </c>
      <c r="E585" s="3" t="s">
        <v>1332</v>
      </c>
      <c r="G585" s="19"/>
      <c r="H585" s="3" t="s">
        <v>1482</v>
      </c>
      <c r="K585" s="7" t="str">
        <f t="shared" si="17"/>
        <v>Meter0</v>
      </c>
      <c r="L585" s="7" t="str">
        <f t="shared" si="18"/>
        <v>total_kw</v>
      </c>
    </row>
    <row r="586" spans="1:12" x14ac:dyDescent="0.25">
      <c r="A586" s="2">
        <v>573</v>
      </c>
      <c r="B586" s="3" t="s">
        <v>1152</v>
      </c>
      <c r="C586" s="2" t="s">
        <v>1153</v>
      </c>
      <c r="D586" s="2" t="s">
        <v>35</v>
      </c>
      <c r="E586" s="3" t="s">
        <v>1333</v>
      </c>
      <c r="G586" s="19"/>
      <c r="H586" s="16"/>
      <c r="K586" s="7" t="str">
        <f t="shared" si="17"/>
        <v>Meter0</v>
      </c>
      <c r="L586" s="7" t="str">
        <f t="shared" si="18"/>
        <v>total_kva</v>
      </c>
    </row>
    <row r="587" spans="1:12" x14ac:dyDescent="0.25">
      <c r="A587" s="2">
        <v>574</v>
      </c>
      <c r="B587" s="3" t="s">
        <v>1154</v>
      </c>
      <c r="C587" s="2" t="s">
        <v>1155</v>
      </c>
      <c r="D587" s="2" t="s">
        <v>35</v>
      </c>
      <c r="E587" s="3" t="s">
        <v>1334</v>
      </c>
      <c r="G587" s="19"/>
      <c r="H587" s="16"/>
      <c r="K587" s="7" t="str">
        <f t="shared" si="17"/>
        <v>Meter0</v>
      </c>
      <c r="L587" s="7" t="str">
        <f t="shared" si="18"/>
        <v>total_kvar</v>
      </c>
    </row>
    <row r="588" spans="1:12" x14ac:dyDescent="0.25">
      <c r="A588" s="2">
        <v>575</v>
      </c>
      <c r="B588" s="3" t="s">
        <v>1156</v>
      </c>
      <c r="C588" s="2" t="s">
        <v>1157</v>
      </c>
      <c r="D588" s="2" t="s">
        <v>35</v>
      </c>
      <c r="E588" s="3" t="s">
        <v>1335</v>
      </c>
      <c r="G588" s="19"/>
      <c r="H588" s="16"/>
      <c r="K588" s="7" t="str">
        <f t="shared" si="17"/>
        <v>Meter0</v>
      </c>
      <c r="L588" s="7" t="str">
        <f t="shared" si="18"/>
        <v>PF1</v>
      </c>
    </row>
    <row r="589" spans="1:12" x14ac:dyDescent="0.25">
      <c r="A589" s="2">
        <v>576</v>
      </c>
      <c r="B589" s="3" t="s">
        <v>1158</v>
      </c>
      <c r="C589" s="2" t="s">
        <v>1159</v>
      </c>
      <c r="D589" s="2" t="s">
        <v>35</v>
      </c>
      <c r="E589" s="3" t="s">
        <v>1336</v>
      </c>
      <c r="G589" s="19"/>
      <c r="H589" s="16"/>
      <c r="K589" s="7" t="str">
        <f t="shared" si="17"/>
        <v>Meter0</v>
      </c>
      <c r="L589" s="7" t="str">
        <f t="shared" si="18"/>
        <v>PF2</v>
      </c>
    </row>
    <row r="590" spans="1:12" x14ac:dyDescent="0.25">
      <c r="A590" s="2">
        <v>577</v>
      </c>
      <c r="B590" s="3" t="s">
        <v>1160</v>
      </c>
      <c r="C590" s="2" t="s">
        <v>1161</v>
      </c>
      <c r="D590" s="2" t="s">
        <v>35</v>
      </c>
      <c r="E590" s="3" t="s">
        <v>1337</v>
      </c>
      <c r="G590" s="19"/>
      <c r="H590" s="16"/>
      <c r="K590" s="7" t="str">
        <f t="shared" si="17"/>
        <v>Meter0</v>
      </c>
      <c r="L590" s="7" t="str">
        <f t="shared" si="18"/>
        <v>PF3</v>
      </c>
    </row>
    <row r="591" spans="1:12" x14ac:dyDescent="0.25">
      <c r="A591" s="2">
        <v>578</v>
      </c>
      <c r="B591" s="3" t="s">
        <v>1162</v>
      </c>
      <c r="C591" s="2" t="s">
        <v>1163</v>
      </c>
      <c r="D591" s="2" t="s">
        <v>35</v>
      </c>
      <c r="E591" s="3" t="s">
        <v>1338</v>
      </c>
      <c r="G591" s="19"/>
      <c r="H591" s="3" t="s">
        <v>1405</v>
      </c>
      <c r="K591" s="7" t="str">
        <f t="shared" ref="K591:K657" si="19">LEFT(B591, SEARCH("_",B591 ) - 1)</f>
        <v>Meter0</v>
      </c>
      <c r="L591" s="7" t="str">
        <f t="shared" si="18"/>
        <v>PF</v>
      </c>
    </row>
    <row r="592" spans="1:12" x14ac:dyDescent="0.25">
      <c r="A592" s="2">
        <v>579</v>
      </c>
      <c r="B592" s="3" t="s">
        <v>1164</v>
      </c>
      <c r="C592" s="2" t="s">
        <v>1165</v>
      </c>
      <c r="D592" s="2" t="s">
        <v>35</v>
      </c>
      <c r="E592" s="3" t="s">
        <v>1339</v>
      </c>
      <c r="G592" s="19"/>
      <c r="H592" s="3" t="s">
        <v>1339</v>
      </c>
      <c r="K592" s="7" t="str">
        <f t="shared" si="19"/>
        <v>Meter0</v>
      </c>
      <c r="L592" s="7" t="str">
        <f t="shared" si="18"/>
        <v>freq</v>
      </c>
    </row>
    <row r="593" spans="1:12" x14ac:dyDescent="0.25">
      <c r="A593" s="2">
        <v>580</v>
      </c>
      <c r="B593" s="3" t="s">
        <v>1166</v>
      </c>
      <c r="C593" s="2" t="s">
        <v>1167</v>
      </c>
      <c r="D593" s="2" t="s">
        <v>35</v>
      </c>
      <c r="E593" s="3" t="s">
        <v>1340</v>
      </c>
      <c r="G593" s="19"/>
      <c r="H593" s="3" t="s">
        <v>1340</v>
      </c>
      <c r="K593" s="7" t="str">
        <f t="shared" si="19"/>
        <v>Meter0</v>
      </c>
      <c r="L593" s="7" t="str">
        <f t="shared" si="18"/>
        <v>kwh</v>
      </c>
    </row>
    <row r="594" spans="1:12" x14ac:dyDescent="0.25">
      <c r="A594" s="2">
        <v>581</v>
      </c>
      <c r="B594" s="3" t="s">
        <v>1168</v>
      </c>
      <c r="C594" s="2" t="s">
        <v>1169</v>
      </c>
      <c r="D594" s="2" t="s">
        <v>35</v>
      </c>
      <c r="E594" s="3" t="s">
        <v>1341</v>
      </c>
      <c r="G594" s="19"/>
      <c r="H594" s="16"/>
      <c r="K594" s="7" t="str">
        <f t="shared" si="19"/>
        <v>Meter0</v>
      </c>
      <c r="L594" s="7" t="str">
        <f t="shared" si="18"/>
        <v>kvah</v>
      </c>
    </row>
    <row r="595" spans="1:12" x14ac:dyDescent="0.25">
      <c r="A595" s="2">
        <v>582</v>
      </c>
      <c r="B595" s="3" t="s">
        <v>1170</v>
      </c>
      <c r="C595" s="2" t="s">
        <v>1171</v>
      </c>
      <c r="D595" s="2" t="s">
        <v>35</v>
      </c>
      <c r="E595" s="3" t="s">
        <v>1342</v>
      </c>
      <c r="G595" s="19"/>
      <c r="H595" s="16"/>
      <c r="K595" s="7" t="str">
        <f t="shared" si="19"/>
        <v>Meter0</v>
      </c>
      <c r="L595" s="7" t="str">
        <f t="shared" si="18"/>
        <v>kvarh</v>
      </c>
    </row>
    <row r="596" spans="1:12" x14ac:dyDescent="0.25">
      <c r="A596" s="2">
        <v>583</v>
      </c>
      <c r="B596" s="3" t="s">
        <v>1409</v>
      </c>
      <c r="C596" s="2" t="s">
        <v>1173</v>
      </c>
      <c r="D596" s="2" t="s">
        <v>7</v>
      </c>
      <c r="E596" s="3" t="s">
        <v>1359</v>
      </c>
      <c r="K596" s="7" t="str">
        <f>LEFT(B596, SEARCH("_",B596 ) - 1)</f>
        <v>PrimingPump1</v>
      </c>
      <c r="L596" s="7" t="str">
        <f t="shared" ref="L596:L659" si="20">RIGHT(B596, LEN(B596)-SEARCH("_",B596 ))</f>
        <v>FB_Run</v>
      </c>
    </row>
    <row r="597" spans="1:12" x14ac:dyDescent="0.25">
      <c r="A597" s="2">
        <v>584</v>
      </c>
      <c r="B597" s="3" t="s">
        <v>1410</v>
      </c>
      <c r="C597" s="2" t="s">
        <v>1175</v>
      </c>
      <c r="D597" s="2" t="s">
        <v>7</v>
      </c>
      <c r="E597" s="3" t="s">
        <v>1360</v>
      </c>
      <c r="K597" s="7" t="str">
        <f t="shared" si="19"/>
        <v>PrimingPump1</v>
      </c>
      <c r="L597" s="7" t="str">
        <f t="shared" si="20"/>
        <v>FB_Stop</v>
      </c>
    </row>
    <row r="598" spans="1:12" x14ac:dyDescent="0.25">
      <c r="A598" s="2">
        <v>585</v>
      </c>
      <c r="B598" s="3" t="s">
        <v>1411</v>
      </c>
      <c r="C598" s="2" t="s">
        <v>1177</v>
      </c>
      <c r="D598" s="2" t="s">
        <v>7</v>
      </c>
      <c r="E598" s="3" t="s">
        <v>1361</v>
      </c>
      <c r="K598" s="7" t="str">
        <f t="shared" si="19"/>
        <v>PrimingPump1</v>
      </c>
      <c r="L598" s="7" t="str">
        <f t="shared" si="20"/>
        <v>FB_Fault</v>
      </c>
    </row>
    <row r="599" spans="1:12" x14ac:dyDescent="0.25">
      <c r="A599" s="2"/>
      <c r="B599" s="3" t="s">
        <v>1412</v>
      </c>
      <c r="C599" s="2"/>
      <c r="D599" s="2"/>
      <c r="E599" s="3"/>
      <c r="K599" s="7" t="str">
        <f t="shared" si="19"/>
        <v>PrimingPump1</v>
      </c>
      <c r="L599" s="7" t="str">
        <f t="shared" si="20"/>
        <v>FB_maintenance</v>
      </c>
    </row>
    <row r="600" spans="1:12" x14ac:dyDescent="0.25">
      <c r="A600" s="2">
        <v>586</v>
      </c>
      <c r="B600" s="3" t="s">
        <v>1413</v>
      </c>
      <c r="C600" s="2" t="s">
        <v>1179</v>
      </c>
      <c r="D600" s="2" t="s">
        <v>7</v>
      </c>
      <c r="E600" s="3" t="s">
        <v>1362</v>
      </c>
      <c r="K600" s="7" t="str">
        <f t="shared" si="19"/>
        <v>PrimingPump2</v>
      </c>
      <c r="L600" s="7" t="str">
        <f t="shared" si="20"/>
        <v>FB_Run</v>
      </c>
    </row>
    <row r="601" spans="1:12" x14ac:dyDescent="0.25">
      <c r="A601" s="2">
        <v>587</v>
      </c>
      <c r="B601" s="3" t="s">
        <v>1414</v>
      </c>
      <c r="C601" s="2" t="s">
        <v>1181</v>
      </c>
      <c r="D601" s="2" t="s">
        <v>7</v>
      </c>
      <c r="E601" s="3" t="s">
        <v>1363</v>
      </c>
      <c r="K601" s="7" t="str">
        <f t="shared" si="19"/>
        <v>PrimingPump2</v>
      </c>
      <c r="L601" s="7" t="str">
        <f t="shared" si="20"/>
        <v>FB_Stop</v>
      </c>
    </row>
    <row r="602" spans="1:12" x14ac:dyDescent="0.25">
      <c r="A602" s="2">
        <v>588</v>
      </c>
      <c r="B602" s="3" t="s">
        <v>1415</v>
      </c>
      <c r="C602" s="2" t="s">
        <v>1183</v>
      </c>
      <c r="D602" s="2" t="s">
        <v>7</v>
      </c>
      <c r="E602" s="3" t="s">
        <v>1364</v>
      </c>
      <c r="K602" s="7" t="str">
        <f t="shared" si="19"/>
        <v>PrimingPump2</v>
      </c>
      <c r="L602" s="7" t="str">
        <f t="shared" si="20"/>
        <v>FB_Fault</v>
      </c>
    </row>
    <row r="603" spans="1:12" x14ac:dyDescent="0.25">
      <c r="A603" s="2"/>
      <c r="B603" s="3" t="s">
        <v>1416</v>
      </c>
      <c r="C603" s="2"/>
      <c r="D603" s="2"/>
      <c r="E603" s="3"/>
      <c r="K603" s="7" t="str">
        <f t="shared" si="19"/>
        <v>PrimingPump2</v>
      </c>
      <c r="L603" s="7" t="str">
        <f t="shared" si="20"/>
        <v>FB_maintenance</v>
      </c>
    </row>
    <row r="604" spans="1:12" x14ac:dyDescent="0.25">
      <c r="A604" s="2">
        <v>589</v>
      </c>
      <c r="B604" s="3" t="s">
        <v>1184</v>
      </c>
      <c r="C604" s="2" t="s">
        <v>1185</v>
      </c>
      <c r="D604" s="2" t="s">
        <v>35</v>
      </c>
      <c r="E604" s="3" t="s">
        <v>1365</v>
      </c>
      <c r="K604" s="7" t="str">
        <f t="shared" si="19"/>
        <v>Level</v>
      </c>
      <c r="L604" s="7" t="str">
        <f t="shared" si="20"/>
        <v>River</v>
      </c>
    </row>
    <row r="605" spans="1:12" x14ac:dyDescent="0.25">
      <c r="A605" s="2">
        <v>590</v>
      </c>
      <c r="B605" s="3" t="s">
        <v>1186</v>
      </c>
      <c r="C605" s="2" t="s">
        <v>1187</v>
      </c>
      <c r="D605" s="2" t="s">
        <v>35</v>
      </c>
      <c r="E605" s="3" t="s">
        <v>1366</v>
      </c>
      <c r="K605" s="7" t="str">
        <f t="shared" si="19"/>
        <v>Level</v>
      </c>
      <c r="L605" s="7" t="str">
        <f t="shared" si="20"/>
        <v>Discharge1</v>
      </c>
    </row>
    <row r="606" spans="1:12" x14ac:dyDescent="0.25">
      <c r="A606" s="2">
        <v>600</v>
      </c>
      <c r="B606" s="3" t="s">
        <v>1206</v>
      </c>
      <c r="C606" s="2" t="s">
        <v>1207</v>
      </c>
      <c r="D606" s="2" t="s">
        <v>24</v>
      </c>
      <c r="E606" s="3" t="s">
        <v>1376</v>
      </c>
      <c r="K606" s="7" t="str">
        <f t="shared" si="19"/>
        <v>Pump1</v>
      </c>
      <c r="L606" s="7" t="str">
        <f t="shared" si="20"/>
        <v>Set_tempA</v>
      </c>
    </row>
    <row r="607" spans="1:12" x14ac:dyDescent="0.25">
      <c r="A607" s="2">
        <v>601</v>
      </c>
      <c r="B607" s="3" t="s">
        <v>1208</v>
      </c>
      <c r="C607" s="2" t="s">
        <v>1209</v>
      </c>
      <c r="D607" s="2" t="s">
        <v>24</v>
      </c>
      <c r="E607" s="3" t="s">
        <v>1377</v>
      </c>
      <c r="K607" s="7" t="str">
        <f t="shared" si="19"/>
        <v>Pump1</v>
      </c>
      <c r="L607" s="7" t="str">
        <f t="shared" si="20"/>
        <v>Set_tempB</v>
      </c>
    </row>
    <row r="608" spans="1:12" x14ac:dyDescent="0.25">
      <c r="A608" s="2">
        <v>602</v>
      </c>
      <c r="B608" s="3" t="s">
        <v>1210</v>
      </c>
      <c r="C608" s="2" t="s">
        <v>1211</v>
      </c>
      <c r="D608" s="2" t="s">
        <v>24</v>
      </c>
      <c r="E608" s="3" t="s">
        <v>1378</v>
      </c>
      <c r="K608" s="7" t="str">
        <f t="shared" si="19"/>
        <v>Pump1</v>
      </c>
      <c r="L608" s="7" t="str">
        <f t="shared" si="20"/>
        <v>Set_tempC</v>
      </c>
    </row>
    <row r="609" spans="1:12" x14ac:dyDescent="0.25">
      <c r="A609" s="2">
        <v>603</v>
      </c>
      <c r="B609" s="3" t="s">
        <v>1212</v>
      </c>
      <c r="C609" s="2" t="s">
        <v>1213</v>
      </c>
      <c r="D609" s="2" t="s">
        <v>24</v>
      </c>
      <c r="E609" s="3" t="s">
        <v>1379</v>
      </c>
      <c r="K609" s="7" t="str">
        <f t="shared" si="19"/>
        <v>Pump1</v>
      </c>
      <c r="L609" s="7" t="str">
        <f t="shared" si="20"/>
        <v>Set_tempDE</v>
      </c>
    </row>
    <row r="610" spans="1:12" x14ac:dyDescent="0.25">
      <c r="A610" s="2">
        <v>604</v>
      </c>
      <c r="B610" s="3" t="s">
        <v>1214</v>
      </c>
      <c r="C610" s="2" t="s">
        <v>1215</v>
      </c>
      <c r="D610" s="2" t="s">
        <v>24</v>
      </c>
      <c r="E610" s="3" t="s">
        <v>1380</v>
      </c>
      <c r="K610" s="7" t="str">
        <f t="shared" si="19"/>
        <v>Pump1</v>
      </c>
      <c r="L610" s="7" t="str">
        <f t="shared" si="20"/>
        <v>Set_tempNDE</v>
      </c>
    </row>
    <row r="611" spans="1:12" x14ac:dyDescent="0.25">
      <c r="A611" s="2">
        <v>605</v>
      </c>
      <c r="B611" s="3" t="s">
        <v>1216</v>
      </c>
      <c r="C611" s="2" t="s">
        <v>1217</v>
      </c>
      <c r="D611" s="2" t="s">
        <v>24</v>
      </c>
      <c r="E611" s="3" t="s">
        <v>1376</v>
      </c>
      <c r="K611" s="7" t="str">
        <f t="shared" si="19"/>
        <v>Pump2</v>
      </c>
      <c r="L611" s="7" t="str">
        <f t="shared" si="20"/>
        <v>Set_tempA</v>
      </c>
    </row>
    <row r="612" spans="1:12" x14ac:dyDescent="0.25">
      <c r="A612" s="2">
        <v>606</v>
      </c>
      <c r="B612" s="3" t="s">
        <v>1218</v>
      </c>
      <c r="C612" s="2" t="s">
        <v>1219</v>
      </c>
      <c r="D612" s="2" t="s">
        <v>24</v>
      </c>
      <c r="E612" s="3" t="s">
        <v>1377</v>
      </c>
      <c r="K612" s="7" t="str">
        <f t="shared" si="19"/>
        <v>Pump2</v>
      </c>
      <c r="L612" s="7" t="str">
        <f t="shared" si="20"/>
        <v>Set_tempB</v>
      </c>
    </row>
    <row r="613" spans="1:12" x14ac:dyDescent="0.25">
      <c r="A613" s="2">
        <v>607</v>
      </c>
      <c r="B613" s="3" t="s">
        <v>1220</v>
      </c>
      <c r="C613" s="2" t="s">
        <v>1221</v>
      </c>
      <c r="D613" s="2" t="s">
        <v>24</v>
      </c>
      <c r="E613" s="3" t="s">
        <v>1378</v>
      </c>
      <c r="K613" s="7" t="str">
        <f t="shared" si="19"/>
        <v>Pump2</v>
      </c>
      <c r="L613" s="7" t="str">
        <f t="shared" si="20"/>
        <v>Set_tempC</v>
      </c>
    </row>
    <row r="614" spans="1:12" x14ac:dyDescent="0.25">
      <c r="A614" s="2">
        <v>608</v>
      </c>
      <c r="B614" s="3" t="s">
        <v>1222</v>
      </c>
      <c r="C614" s="2" t="s">
        <v>1223</v>
      </c>
      <c r="D614" s="2" t="s">
        <v>24</v>
      </c>
      <c r="E614" s="3" t="s">
        <v>1379</v>
      </c>
      <c r="K614" s="7" t="str">
        <f t="shared" si="19"/>
        <v>Pump2</v>
      </c>
      <c r="L614" s="7" t="str">
        <f t="shared" si="20"/>
        <v>Set_tempDE</v>
      </c>
    </row>
    <row r="615" spans="1:12" x14ac:dyDescent="0.25">
      <c r="A615" s="2">
        <v>609</v>
      </c>
      <c r="B615" s="3" t="s">
        <v>1224</v>
      </c>
      <c r="C615" s="2" t="s">
        <v>1225</v>
      </c>
      <c r="D615" s="2" t="s">
        <v>24</v>
      </c>
      <c r="E615" s="3" t="s">
        <v>1380</v>
      </c>
      <c r="K615" s="7" t="str">
        <f t="shared" si="19"/>
        <v>Pump2</v>
      </c>
      <c r="L615" s="7" t="str">
        <f t="shared" si="20"/>
        <v>Set_tempNDE</v>
      </c>
    </row>
    <row r="616" spans="1:12" x14ac:dyDescent="0.25">
      <c r="A616" s="2">
        <v>610</v>
      </c>
      <c r="B616" s="3" t="s">
        <v>1226</v>
      </c>
      <c r="C616" s="2" t="s">
        <v>1227</v>
      </c>
      <c r="D616" s="2" t="s">
        <v>24</v>
      </c>
      <c r="E616" s="3" t="s">
        <v>1376</v>
      </c>
      <c r="K616" s="7" t="str">
        <f t="shared" si="19"/>
        <v>Pump3</v>
      </c>
      <c r="L616" s="7" t="str">
        <f t="shared" si="20"/>
        <v>Set_tempA</v>
      </c>
    </row>
    <row r="617" spans="1:12" x14ac:dyDescent="0.25">
      <c r="A617" s="2">
        <v>611</v>
      </c>
      <c r="B617" s="3" t="s">
        <v>1228</v>
      </c>
      <c r="C617" s="2" t="s">
        <v>1229</v>
      </c>
      <c r="D617" s="2" t="s">
        <v>24</v>
      </c>
      <c r="E617" s="3" t="s">
        <v>1377</v>
      </c>
      <c r="K617" s="7" t="str">
        <f t="shared" si="19"/>
        <v>Pump3</v>
      </c>
      <c r="L617" s="7" t="str">
        <f t="shared" si="20"/>
        <v>Set_tempB</v>
      </c>
    </row>
    <row r="618" spans="1:12" x14ac:dyDescent="0.25">
      <c r="A618" s="2">
        <v>612</v>
      </c>
      <c r="B618" s="3" t="s">
        <v>1230</v>
      </c>
      <c r="C618" s="2" t="s">
        <v>1231</v>
      </c>
      <c r="D618" s="2" t="s">
        <v>24</v>
      </c>
      <c r="E618" s="3" t="s">
        <v>1378</v>
      </c>
      <c r="K618" s="7" t="str">
        <f t="shared" si="19"/>
        <v>Pump3</v>
      </c>
      <c r="L618" s="7" t="str">
        <f t="shared" si="20"/>
        <v>Set_tempC</v>
      </c>
    </row>
    <row r="619" spans="1:12" x14ac:dyDescent="0.25">
      <c r="A619" s="2">
        <v>613</v>
      </c>
      <c r="B619" s="3" t="s">
        <v>1232</v>
      </c>
      <c r="C619" s="2" t="s">
        <v>1233</v>
      </c>
      <c r="D619" s="2" t="s">
        <v>24</v>
      </c>
      <c r="E619" s="3" t="s">
        <v>1379</v>
      </c>
      <c r="K619" s="7" t="str">
        <f t="shared" si="19"/>
        <v>Pump3</v>
      </c>
      <c r="L619" s="7" t="str">
        <f t="shared" si="20"/>
        <v>Set_tempDE</v>
      </c>
    </row>
    <row r="620" spans="1:12" x14ac:dyDescent="0.25">
      <c r="A620" s="2">
        <v>614</v>
      </c>
      <c r="B620" s="3" t="s">
        <v>1234</v>
      </c>
      <c r="C620" s="2" t="s">
        <v>1235</v>
      </c>
      <c r="D620" s="2" t="s">
        <v>24</v>
      </c>
      <c r="E620" s="3" t="s">
        <v>1380</v>
      </c>
      <c r="K620" s="7" t="str">
        <f t="shared" si="19"/>
        <v>Pump3</v>
      </c>
      <c r="L620" s="7" t="str">
        <f t="shared" si="20"/>
        <v>Set_tempNDE</v>
      </c>
    </row>
    <row r="621" spans="1:12" x14ac:dyDescent="0.25">
      <c r="A621" s="2">
        <v>615</v>
      </c>
      <c r="B621" s="3" t="s">
        <v>1236</v>
      </c>
      <c r="C621" s="2" t="s">
        <v>1237</v>
      </c>
      <c r="D621" s="2" t="s">
        <v>24</v>
      </c>
      <c r="E621" s="3" t="s">
        <v>1376</v>
      </c>
      <c r="K621" s="7" t="str">
        <f t="shared" si="19"/>
        <v>Pump4</v>
      </c>
      <c r="L621" s="7" t="str">
        <f t="shared" si="20"/>
        <v>Set_tempA</v>
      </c>
    </row>
    <row r="622" spans="1:12" x14ac:dyDescent="0.25">
      <c r="A622" s="2">
        <v>616</v>
      </c>
      <c r="B622" s="3" t="s">
        <v>1238</v>
      </c>
      <c r="C622" s="2" t="s">
        <v>1239</v>
      </c>
      <c r="D622" s="2" t="s">
        <v>24</v>
      </c>
      <c r="E622" s="3" t="s">
        <v>1377</v>
      </c>
      <c r="K622" s="7" t="str">
        <f t="shared" si="19"/>
        <v>Pump4</v>
      </c>
      <c r="L622" s="7" t="str">
        <f t="shared" si="20"/>
        <v>Set_tempB</v>
      </c>
    </row>
    <row r="623" spans="1:12" x14ac:dyDescent="0.25">
      <c r="A623" s="2">
        <v>617</v>
      </c>
      <c r="B623" s="3" t="s">
        <v>1240</v>
      </c>
      <c r="C623" s="2" t="s">
        <v>1241</v>
      </c>
      <c r="D623" s="2" t="s">
        <v>24</v>
      </c>
      <c r="E623" s="3" t="s">
        <v>1378</v>
      </c>
      <c r="K623" s="7" t="str">
        <f t="shared" si="19"/>
        <v>Pump4</v>
      </c>
      <c r="L623" s="7" t="str">
        <f t="shared" si="20"/>
        <v>Set_tempC</v>
      </c>
    </row>
    <row r="624" spans="1:12" x14ac:dyDescent="0.25">
      <c r="A624" s="2">
        <v>618</v>
      </c>
      <c r="B624" s="3" t="s">
        <v>1242</v>
      </c>
      <c r="C624" s="2" t="s">
        <v>1243</v>
      </c>
      <c r="D624" s="2" t="s">
        <v>24</v>
      </c>
      <c r="E624" s="3" t="s">
        <v>1379</v>
      </c>
      <c r="K624" s="7" t="str">
        <f t="shared" si="19"/>
        <v>Pump4</v>
      </c>
      <c r="L624" s="7" t="str">
        <f t="shared" si="20"/>
        <v>Set_tempDE</v>
      </c>
    </row>
    <row r="625" spans="1:12" x14ac:dyDescent="0.25">
      <c r="A625" s="2">
        <v>619</v>
      </c>
      <c r="B625" s="3" t="s">
        <v>1244</v>
      </c>
      <c r="C625" s="2" t="s">
        <v>1245</v>
      </c>
      <c r="D625" s="2" t="s">
        <v>24</v>
      </c>
      <c r="E625" s="3" t="s">
        <v>1380</v>
      </c>
      <c r="K625" s="7" t="str">
        <f t="shared" si="19"/>
        <v>Pump4</v>
      </c>
      <c r="L625" s="7" t="str">
        <f t="shared" si="20"/>
        <v>Set_tempNDE</v>
      </c>
    </row>
    <row r="626" spans="1:12" x14ac:dyDescent="0.25">
      <c r="A626" s="2">
        <v>620</v>
      </c>
      <c r="B626" s="3" t="s">
        <v>1246</v>
      </c>
      <c r="C626" s="2" t="s">
        <v>1247</v>
      </c>
      <c r="D626" s="2" t="s">
        <v>24</v>
      </c>
      <c r="E626" s="3" t="s">
        <v>1376</v>
      </c>
      <c r="K626" s="7" t="str">
        <f t="shared" si="19"/>
        <v>Pump5</v>
      </c>
      <c r="L626" s="7" t="str">
        <f t="shared" si="20"/>
        <v>Set_tempA</v>
      </c>
    </row>
    <row r="627" spans="1:12" x14ac:dyDescent="0.25">
      <c r="A627" s="2">
        <v>621</v>
      </c>
      <c r="B627" s="3" t="s">
        <v>1248</v>
      </c>
      <c r="C627" s="2" t="s">
        <v>1249</v>
      </c>
      <c r="D627" s="2" t="s">
        <v>24</v>
      </c>
      <c r="E627" s="3" t="s">
        <v>1377</v>
      </c>
      <c r="K627" s="7" t="str">
        <f t="shared" si="19"/>
        <v>Pump5</v>
      </c>
      <c r="L627" s="7" t="str">
        <f t="shared" si="20"/>
        <v>Set_tempB</v>
      </c>
    </row>
    <row r="628" spans="1:12" x14ac:dyDescent="0.25">
      <c r="A628" s="2">
        <v>622</v>
      </c>
      <c r="B628" s="3" t="s">
        <v>1250</v>
      </c>
      <c r="C628" s="2" t="s">
        <v>1251</v>
      </c>
      <c r="D628" s="2" t="s">
        <v>24</v>
      </c>
      <c r="E628" s="3" t="s">
        <v>1378</v>
      </c>
      <c r="K628" s="7" t="str">
        <f t="shared" si="19"/>
        <v>Pump5</v>
      </c>
      <c r="L628" s="7" t="str">
        <f t="shared" si="20"/>
        <v>Set_tempC</v>
      </c>
    </row>
    <row r="629" spans="1:12" x14ac:dyDescent="0.25">
      <c r="A629" s="2">
        <v>623</v>
      </c>
      <c r="B629" s="3" t="s">
        <v>1252</v>
      </c>
      <c r="C629" s="2" t="s">
        <v>1253</v>
      </c>
      <c r="D629" s="2" t="s">
        <v>24</v>
      </c>
      <c r="E629" s="3" t="s">
        <v>1379</v>
      </c>
      <c r="K629" s="7" t="str">
        <f t="shared" si="19"/>
        <v>Pump5</v>
      </c>
      <c r="L629" s="7" t="str">
        <f t="shared" si="20"/>
        <v>Set_tempDE</v>
      </c>
    </row>
    <row r="630" spans="1:12" x14ac:dyDescent="0.25">
      <c r="A630" s="2">
        <v>624</v>
      </c>
      <c r="B630" s="3" t="s">
        <v>1254</v>
      </c>
      <c r="C630" s="2" t="s">
        <v>1255</v>
      </c>
      <c r="D630" s="2" t="s">
        <v>24</v>
      </c>
      <c r="E630" s="3" t="s">
        <v>1380</v>
      </c>
      <c r="K630" s="7" t="str">
        <f t="shared" si="19"/>
        <v>Pump5</v>
      </c>
      <c r="L630" s="7" t="str">
        <f t="shared" si="20"/>
        <v>Set_tempNDE</v>
      </c>
    </row>
    <row r="631" spans="1:12" x14ac:dyDescent="0.25">
      <c r="A631" s="2">
        <v>625</v>
      </c>
      <c r="B631" s="3" t="s">
        <v>1256</v>
      </c>
      <c r="C631" s="2" t="s">
        <v>1257</v>
      </c>
      <c r="D631" s="2" t="s">
        <v>24</v>
      </c>
      <c r="E631" s="3" t="s">
        <v>1376</v>
      </c>
      <c r="K631" s="7" t="str">
        <f t="shared" si="19"/>
        <v>Pump6</v>
      </c>
      <c r="L631" s="7" t="str">
        <f t="shared" si="20"/>
        <v>Set_tempA</v>
      </c>
    </row>
    <row r="632" spans="1:12" x14ac:dyDescent="0.25">
      <c r="A632" s="2">
        <v>626</v>
      </c>
      <c r="B632" s="3" t="s">
        <v>1258</v>
      </c>
      <c r="C632" s="2" t="s">
        <v>1259</v>
      </c>
      <c r="D632" s="2" t="s">
        <v>24</v>
      </c>
      <c r="E632" s="3" t="s">
        <v>1377</v>
      </c>
      <c r="K632" s="7" t="str">
        <f t="shared" si="19"/>
        <v>Pump6</v>
      </c>
      <c r="L632" s="7" t="str">
        <f t="shared" si="20"/>
        <v>Set_tempB</v>
      </c>
    </row>
    <row r="633" spans="1:12" x14ac:dyDescent="0.25">
      <c r="A633" s="2">
        <v>627</v>
      </c>
      <c r="B633" s="3" t="s">
        <v>1260</v>
      </c>
      <c r="C633" s="2" t="s">
        <v>1261</v>
      </c>
      <c r="D633" s="2" t="s">
        <v>24</v>
      </c>
      <c r="E633" s="3" t="s">
        <v>1378</v>
      </c>
      <c r="K633" s="7" t="str">
        <f t="shared" si="19"/>
        <v>Pump6</v>
      </c>
      <c r="L633" s="7" t="str">
        <f t="shared" si="20"/>
        <v>Set_tempC</v>
      </c>
    </row>
    <row r="634" spans="1:12" x14ac:dyDescent="0.25">
      <c r="A634" s="2">
        <v>628</v>
      </c>
      <c r="B634" s="3" t="s">
        <v>1262</v>
      </c>
      <c r="C634" s="2" t="s">
        <v>1263</v>
      </c>
      <c r="D634" s="2" t="s">
        <v>24</v>
      </c>
      <c r="E634" s="3" t="s">
        <v>1379</v>
      </c>
      <c r="K634" s="7" t="str">
        <f t="shared" si="19"/>
        <v>Pump6</v>
      </c>
      <c r="L634" s="7" t="str">
        <f t="shared" si="20"/>
        <v>Set_tempDE</v>
      </c>
    </row>
    <row r="635" spans="1:12" x14ac:dyDescent="0.25">
      <c r="A635" s="2">
        <v>629</v>
      </c>
      <c r="B635" s="3" t="s">
        <v>1264</v>
      </c>
      <c r="C635" s="2" t="s">
        <v>1265</v>
      </c>
      <c r="D635" s="2" t="s">
        <v>24</v>
      </c>
      <c r="E635" s="3" t="s">
        <v>1380</v>
      </c>
      <c r="K635" s="7" t="str">
        <f t="shared" si="19"/>
        <v>Pump6</v>
      </c>
      <c r="L635" s="7" t="str">
        <f t="shared" si="20"/>
        <v>Set_tempNDE</v>
      </c>
    </row>
    <row r="636" spans="1:12" x14ac:dyDescent="0.25">
      <c r="A636" s="2">
        <v>630</v>
      </c>
      <c r="B636" s="3" t="s">
        <v>1266</v>
      </c>
      <c r="C636" s="2" t="s">
        <v>1267</v>
      </c>
      <c r="D636" s="2" t="s">
        <v>24</v>
      </c>
      <c r="E636" s="3" t="s">
        <v>1376</v>
      </c>
      <c r="K636" s="7" t="str">
        <f t="shared" si="19"/>
        <v>Pump7</v>
      </c>
      <c r="L636" s="7" t="str">
        <f t="shared" si="20"/>
        <v>Set_tempA</v>
      </c>
    </row>
    <row r="637" spans="1:12" x14ac:dyDescent="0.25">
      <c r="A637" s="2">
        <v>631</v>
      </c>
      <c r="B637" s="3" t="s">
        <v>1268</v>
      </c>
      <c r="C637" s="2" t="s">
        <v>1269</v>
      </c>
      <c r="D637" s="2" t="s">
        <v>24</v>
      </c>
      <c r="E637" s="3" t="s">
        <v>1377</v>
      </c>
      <c r="K637" s="7" t="str">
        <f t="shared" si="19"/>
        <v>Pump7</v>
      </c>
      <c r="L637" s="7" t="str">
        <f t="shared" si="20"/>
        <v>Set_tempB</v>
      </c>
    </row>
    <row r="638" spans="1:12" x14ac:dyDescent="0.25">
      <c r="A638" s="2">
        <v>632</v>
      </c>
      <c r="B638" s="3" t="s">
        <v>1270</v>
      </c>
      <c r="C638" s="2" t="s">
        <v>1271</v>
      </c>
      <c r="D638" s="2" t="s">
        <v>24</v>
      </c>
      <c r="E638" s="3" t="s">
        <v>1378</v>
      </c>
      <c r="K638" s="7" t="str">
        <f t="shared" si="19"/>
        <v>Pump7</v>
      </c>
      <c r="L638" s="7" t="str">
        <f t="shared" si="20"/>
        <v>Set_tempC</v>
      </c>
    </row>
    <row r="639" spans="1:12" x14ac:dyDescent="0.25">
      <c r="A639" s="2">
        <v>633</v>
      </c>
      <c r="B639" s="3" t="s">
        <v>1272</v>
      </c>
      <c r="C639" s="2" t="s">
        <v>1273</v>
      </c>
      <c r="D639" s="2" t="s">
        <v>24</v>
      </c>
      <c r="E639" s="3" t="s">
        <v>1379</v>
      </c>
      <c r="K639" s="7" t="str">
        <f t="shared" si="19"/>
        <v>Pump7</v>
      </c>
      <c r="L639" s="7" t="str">
        <f t="shared" si="20"/>
        <v>Set_tempDE</v>
      </c>
    </row>
    <row r="640" spans="1:12" x14ac:dyDescent="0.25">
      <c r="A640" s="2">
        <v>634</v>
      </c>
      <c r="B640" s="3" t="s">
        <v>1274</v>
      </c>
      <c r="C640" s="2" t="s">
        <v>1275</v>
      </c>
      <c r="D640" s="2" t="s">
        <v>24</v>
      </c>
      <c r="E640" s="3" t="s">
        <v>1380</v>
      </c>
      <c r="K640" s="7" t="str">
        <f t="shared" si="19"/>
        <v>Pump7</v>
      </c>
      <c r="L640" s="7" t="str">
        <f t="shared" si="20"/>
        <v>Set_tempNDE</v>
      </c>
    </row>
    <row r="641" spans="1:12" x14ac:dyDescent="0.25">
      <c r="A641" s="2">
        <v>635</v>
      </c>
      <c r="B641" s="3" t="s">
        <v>1276</v>
      </c>
      <c r="C641" s="2" t="s">
        <v>1277</v>
      </c>
      <c r="D641" s="2" t="s">
        <v>24</v>
      </c>
      <c r="E641" s="3" t="s">
        <v>1376</v>
      </c>
      <c r="K641" s="7" t="str">
        <f t="shared" si="19"/>
        <v>Pump8</v>
      </c>
      <c r="L641" s="7" t="str">
        <f t="shared" si="20"/>
        <v>Set_tempA</v>
      </c>
    </row>
    <row r="642" spans="1:12" x14ac:dyDescent="0.25">
      <c r="A642" s="2">
        <v>636</v>
      </c>
      <c r="B642" s="3" t="s">
        <v>1278</v>
      </c>
      <c r="C642" s="2" t="s">
        <v>1279</v>
      </c>
      <c r="D642" s="2" t="s">
        <v>24</v>
      </c>
      <c r="E642" s="3" t="s">
        <v>1377</v>
      </c>
      <c r="K642" s="7" t="str">
        <f t="shared" si="19"/>
        <v>Pump8</v>
      </c>
      <c r="L642" s="7" t="str">
        <f t="shared" si="20"/>
        <v>Set_tempB</v>
      </c>
    </row>
    <row r="643" spans="1:12" x14ac:dyDescent="0.25">
      <c r="A643" s="2">
        <v>637</v>
      </c>
      <c r="B643" s="3" t="s">
        <v>1280</v>
      </c>
      <c r="C643" s="2" t="s">
        <v>1281</v>
      </c>
      <c r="D643" s="2" t="s">
        <v>24</v>
      </c>
      <c r="E643" s="3" t="s">
        <v>1378</v>
      </c>
      <c r="K643" s="7" t="str">
        <f t="shared" si="19"/>
        <v>Pump8</v>
      </c>
      <c r="L643" s="7" t="str">
        <f t="shared" si="20"/>
        <v>Set_tempC</v>
      </c>
    </row>
    <row r="644" spans="1:12" x14ac:dyDescent="0.25">
      <c r="A644" s="2">
        <v>638</v>
      </c>
      <c r="B644" s="3" t="s">
        <v>1282</v>
      </c>
      <c r="C644" s="2" t="s">
        <v>1283</v>
      </c>
      <c r="D644" s="2" t="s">
        <v>24</v>
      </c>
      <c r="E644" s="3" t="s">
        <v>1379</v>
      </c>
      <c r="K644" s="7" t="str">
        <f t="shared" si="19"/>
        <v>Pump8</v>
      </c>
      <c r="L644" s="7" t="str">
        <f t="shared" si="20"/>
        <v>Set_tempDE</v>
      </c>
    </row>
    <row r="645" spans="1:12" x14ac:dyDescent="0.25">
      <c r="A645" s="2">
        <v>639</v>
      </c>
      <c r="B645" s="3" t="s">
        <v>1284</v>
      </c>
      <c r="C645" s="2" t="s">
        <v>1285</v>
      </c>
      <c r="D645" s="2" t="s">
        <v>24</v>
      </c>
      <c r="E645" s="3" t="s">
        <v>1380</v>
      </c>
      <c r="K645" s="7" t="str">
        <f t="shared" si="19"/>
        <v>Pump8</v>
      </c>
      <c r="L645" s="7" t="str">
        <f t="shared" si="20"/>
        <v>Set_tempNDE</v>
      </c>
    </row>
    <row r="646" spans="1:12" x14ac:dyDescent="0.25">
      <c r="A646" s="2">
        <v>640</v>
      </c>
      <c r="B646" s="3" t="s">
        <v>1286</v>
      </c>
      <c r="C646" s="2" t="s">
        <v>1287</v>
      </c>
      <c r="D646" s="2" t="s">
        <v>24</v>
      </c>
      <c r="E646" s="3" t="s">
        <v>1376</v>
      </c>
      <c r="K646" s="7" t="str">
        <f t="shared" si="19"/>
        <v>Pump9</v>
      </c>
      <c r="L646" s="7" t="str">
        <f t="shared" si="20"/>
        <v>Set_tempA</v>
      </c>
    </row>
    <row r="647" spans="1:12" x14ac:dyDescent="0.25">
      <c r="A647" s="2">
        <v>641</v>
      </c>
      <c r="B647" s="3" t="s">
        <v>1288</v>
      </c>
      <c r="C647" s="2" t="s">
        <v>1289</v>
      </c>
      <c r="D647" s="2" t="s">
        <v>24</v>
      </c>
      <c r="E647" s="3" t="s">
        <v>1377</v>
      </c>
      <c r="K647" s="7" t="str">
        <f t="shared" si="19"/>
        <v>Pump9</v>
      </c>
      <c r="L647" s="7" t="str">
        <f t="shared" si="20"/>
        <v>Set_tempB</v>
      </c>
    </row>
    <row r="648" spans="1:12" x14ac:dyDescent="0.25">
      <c r="A648" s="2">
        <v>642</v>
      </c>
      <c r="B648" s="3" t="s">
        <v>1290</v>
      </c>
      <c r="C648" s="2" t="s">
        <v>1291</v>
      </c>
      <c r="D648" s="2" t="s">
        <v>24</v>
      </c>
      <c r="E648" s="3" t="s">
        <v>1378</v>
      </c>
      <c r="K648" s="7" t="str">
        <f t="shared" si="19"/>
        <v>Pump9</v>
      </c>
      <c r="L648" s="7" t="str">
        <f t="shared" si="20"/>
        <v>Set_tempC</v>
      </c>
    </row>
    <row r="649" spans="1:12" x14ac:dyDescent="0.25">
      <c r="A649" s="2">
        <v>643</v>
      </c>
      <c r="B649" s="3" t="s">
        <v>1292</v>
      </c>
      <c r="C649" s="2" t="s">
        <v>1293</v>
      </c>
      <c r="D649" s="2" t="s">
        <v>24</v>
      </c>
      <c r="E649" s="3" t="s">
        <v>1379</v>
      </c>
      <c r="K649" s="7" t="str">
        <f t="shared" si="19"/>
        <v>Pump9</v>
      </c>
      <c r="L649" s="7" t="str">
        <f t="shared" si="20"/>
        <v>Set_tempDE</v>
      </c>
    </row>
    <row r="650" spans="1:12" x14ac:dyDescent="0.25">
      <c r="A650" s="2">
        <v>644</v>
      </c>
      <c r="B650" s="3" t="s">
        <v>1294</v>
      </c>
      <c r="C650" s="2" t="s">
        <v>1295</v>
      </c>
      <c r="D650" s="2" t="s">
        <v>24</v>
      </c>
      <c r="E650" s="3" t="s">
        <v>1380</v>
      </c>
      <c r="K650" s="7" t="str">
        <f t="shared" si="19"/>
        <v>Pump9</v>
      </c>
      <c r="L650" s="7" t="str">
        <f t="shared" si="20"/>
        <v>Set_tempNDE</v>
      </c>
    </row>
    <row r="651" spans="1:12" x14ac:dyDescent="0.25">
      <c r="A651" s="2">
        <v>645</v>
      </c>
      <c r="B651" s="3" t="s">
        <v>1296</v>
      </c>
      <c r="C651" s="2" t="s">
        <v>1297</v>
      </c>
      <c r="D651" s="2" t="s">
        <v>24</v>
      </c>
      <c r="E651" s="3" t="s">
        <v>1376</v>
      </c>
      <c r="K651" s="7" t="str">
        <f t="shared" si="19"/>
        <v>Pump10</v>
      </c>
      <c r="L651" s="7" t="str">
        <f t="shared" si="20"/>
        <v>Set_tempA</v>
      </c>
    </row>
    <row r="652" spans="1:12" x14ac:dyDescent="0.25">
      <c r="A652" s="2">
        <v>646</v>
      </c>
      <c r="B652" s="3" t="s">
        <v>1298</v>
      </c>
      <c r="C652" s="2" t="s">
        <v>1299</v>
      </c>
      <c r="D652" s="2" t="s">
        <v>24</v>
      </c>
      <c r="E652" s="3" t="s">
        <v>1377</v>
      </c>
      <c r="K652" s="7" t="str">
        <f t="shared" si="19"/>
        <v>Pump10</v>
      </c>
      <c r="L652" s="7" t="str">
        <f t="shared" si="20"/>
        <v>Set_tempB</v>
      </c>
    </row>
    <row r="653" spans="1:12" x14ac:dyDescent="0.25">
      <c r="A653" s="2">
        <v>647</v>
      </c>
      <c r="B653" s="3" t="s">
        <v>1300</v>
      </c>
      <c r="C653" s="2" t="s">
        <v>1301</v>
      </c>
      <c r="D653" s="2" t="s">
        <v>24</v>
      </c>
      <c r="E653" s="3" t="s">
        <v>1378</v>
      </c>
      <c r="K653" s="7" t="str">
        <f t="shared" si="19"/>
        <v>Pump10</v>
      </c>
      <c r="L653" s="7" t="str">
        <f t="shared" si="20"/>
        <v>Set_tempC</v>
      </c>
    </row>
    <row r="654" spans="1:12" x14ac:dyDescent="0.25">
      <c r="A654" s="2">
        <v>648</v>
      </c>
      <c r="B654" s="3" t="s">
        <v>1302</v>
      </c>
      <c r="C654" s="2" t="s">
        <v>1303</v>
      </c>
      <c r="D654" s="2" t="s">
        <v>24</v>
      </c>
      <c r="E654" s="3" t="s">
        <v>1379</v>
      </c>
      <c r="K654" s="7" t="str">
        <f t="shared" si="19"/>
        <v>Pump10</v>
      </c>
      <c r="L654" s="7" t="str">
        <f t="shared" si="20"/>
        <v>Set_tempDE</v>
      </c>
    </row>
    <row r="655" spans="1:12" x14ac:dyDescent="0.25">
      <c r="A655" s="2">
        <v>649</v>
      </c>
      <c r="B655" s="3" t="s">
        <v>1304</v>
      </c>
      <c r="C655" s="2" t="s">
        <v>1305</v>
      </c>
      <c r="D655" s="2" t="s">
        <v>24</v>
      </c>
      <c r="E655" s="3" t="s">
        <v>1380</v>
      </c>
      <c r="K655" s="7" t="str">
        <f t="shared" si="19"/>
        <v>Pump10</v>
      </c>
      <c r="L655" s="7" t="str">
        <f t="shared" si="20"/>
        <v>Set_tempNDE</v>
      </c>
    </row>
    <row r="656" spans="1:12" x14ac:dyDescent="0.25">
      <c r="B656" s="15" t="s">
        <v>1443</v>
      </c>
      <c r="D656" s="1" t="s">
        <v>1479</v>
      </c>
      <c r="E656" s="15" t="s">
        <v>1476</v>
      </c>
      <c r="K656" s="7" t="str">
        <f t="shared" si="19"/>
        <v>Metter0</v>
      </c>
      <c r="L656" s="7" t="str">
        <f t="shared" si="20"/>
        <v>Set_CurentR</v>
      </c>
    </row>
    <row r="657" spans="2:12" x14ac:dyDescent="0.25">
      <c r="B657" s="15" t="s">
        <v>1444</v>
      </c>
      <c r="D657" s="1" t="s">
        <v>1479</v>
      </c>
      <c r="E657" s="15" t="s">
        <v>1477</v>
      </c>
      <c r="K657" s="7" t="str">
        <f t="shared" si="19"/>
        <v>Metter0</v>
      </c>
      <c r="L657" s="7" t="str">
        <f t="shared" si="20"/>
        <v>Set_CurentS</v>
      </c>
    </row>
    <row r="658" spans="2:12" x14ac:dyDescent="0.25">
      <c r="B658" s="15" t="s">
        <v>1445</v>
      </c>
      <c r="D658" s="1" t="s">
        <v>1479</v>
      </c>
      <c r="E658" s="15" t="s">
        <v>1478</v>
      </c>
      <c r="K658" s="7" t="str">
        <f t="shared" ref="K658:K688" si="21">LEFT(B658, SEARCH("_",B658 ) - 1)</f>
        <v>Metter0</v>
      </c>
      <c r="L658" s="7" t="str">
        <f t="shared" si="20"/>
        <v>Set_CurentT</v>
      </c>
    </row>
    <row r="659" spans="2:12" x14ac:dyDescent="0.25">
      <c r="B659" s="15" t="s">
        <v>1446</v>
      </c>
      <c r="D659" s="1" t="s">
        <v>1479</v>
      </c>
      <c r="E659" s="15" t="s">
        <v>1476</v>
      </c>
      <c r="K659" s="7" t="str">
        <f t="shared" si="21"/>
        <v>Metter1</v>
      </c>
      <c r="L659" s="7" t="str">
        <f t="shared" si="20"/>
        <v>Set_CurentR</v>
      </c>
    </row>
    <row r="660" spans="2:12" x14ac:dyDescent="0.25">
      <c r="B660" s="15" t="s">
        <v>1447</v>
      </c>
      <c r="D660" s="1" t="s">
        <v>1479</v>
      </c>
      <c r="E660" s="15" t="s">
        <v>1477</v>
      </c>
      <c r="K660" s="7" t="str">
        <f t="shared" si="21"/>
        <v>Metter1</v>
      </c>
      <c r="L660" s="7" t="str">
        <f t="shared" ref="L660:L688" si="22">RIGHT(B660, LEN(B660)-SEARCH("_",B660 ))</f>
        <v>Set_CurentS</v>
      </c>
    </row>
    <row r="661" spans="2:12" x14ac:dyDescent="0.25">
      <c r="B661" s="15" t="s">
        <v>1448</v>
      </c>
      <c r="D661" s="1" t="s">
        <v>1479</v>
      </c>
      <c r="E661" s="15" t="s">
        <v>1478</v>
      </c>
      <c r="K661" s="7" t="str">
        <f t="shared" si="21"/>
        <v>Metter1</v>
      </c>
      <c r="L661" s="7" t="str">
        <f t="shared" si="22"/>
        <v>Set_CurentT</v>
      </c>
    </row>
    <row r="662" spans="2:12" x14ac:dyDescent="0.25">
      <c r="B662" s="15" t="s">
        <v>1449</v>
      </c>
      <c r="D662" s="1" t="s">
        <v>1479</v>
      </c>
      <c r="E662" s="15" t="s">
        <v>1476</v>
      </c>
      <c r="K662" s="7" t="str">
        <f t="shared" si="21"/>
        <v>Metter2</v>
      </c>
      <c r="L662" s="7" t="str">
        <f t="shared" si="22"/>
        <v>Set_CurentR</v>
      </c>
    </row>
    <row r="663" spans="2:12" x14ac:dyDescent="0.25">
      <c r="B663" s="15" t="s">
        <v>1450</v>
      </c>
      <c r="D663" s="1" t="s">
        <v>1479</v>
      </c>
      <c r="E663" s="15" t="s">
        <v>1477</v>
      </c>
      <c r="K663" s="7" t="str">
        <f t="shared" si="21"/>
        <v>Metter2</v>
      </c>
      <c r="L663" s="7" t="str">
        <f t="shared" si="22"/>
        <v>Set_CurentS</v>
      </c>
    </row>
    <row r="664" spans="2:12" x14ac:dyDescent="0.25">
      <c r="B664" s="15" t="s">
        <v>1451</v>
      </c>
      <c r="D664" s="1" t="s">
        <v>1479</v>
      </c>
      <c r="E664" s="15" t="s">
        <v>1478</v>
      </c>
      <c r="K664" s="7" t="str">
        <f t="shared" si="21"/>
        <v>Metter2</v>
      </c>
      <c r="L664" s="7" t="str">
        <f t="shared" si="22"/>
        <v>Set_CurentT</v>
      </c>
    </row>
    <row r="665" spans="2:12" x14ac:dyDescent="0.25">
      <c r="B665" s="15" t="s">
        <v>1452</v>
      </c>
      <c r="D665" s="1" t="s">
        <v>1479</v>
      </c>
      <c r="E665" s="15" t="s">
        <v>1476</v>
      </c>
      <c r="K665" s="7" t="str">
        <f t="shared" si="21"/>
        <v>Metter3</v>
      </c>
      <c r="L665" s="7" t="str">
        <f t="shared" si="22"/>
        <v>Set_CurentR</v>
      </c>
    </row>
    <row r="666" spans="2:12" x14ac:dyDescent="0.25">
      <c r="B666" s="15" t="s">
        <v>1453</v>
      </c>
      <c r="D666" s="1" t="s">
        <v>1479</v>
      </c>
      <c r="E666" s="15" t="s">
        <v>1477</v>
      </c>
      <c r="K666" s="7" t="str">
        <f t="shared" si="21"/>
        <v>Metter3</v>
      </c>
      <c r="L666" s="7" t="str">
        <f t="shared" si="22"/>
        <v>Set_CurentS</v>
      </c>
    </row>
    <row r="667" spans="2:12" x14ac:dyDescent="0.25">
      <c r="B667" s="15" t="s">
        <v>1454</v>
      </c>
      <c r="D667" s="1" t="s">
        <v>1479</v>
      </c>
      <c r="E667" s="15" t="s">
        <v>1478</v>
      </c>
      <c r="K667" s="7" t="str">
        <f t="shared" si="21"/>
        <v>Metter3</v>
      </c>
      <c r="L667" s="7" t="str">
        <f t="shared" si="22"/>
        <v>Set_CurentT</v>
      </c>
    </row>
    <row r="668" spans="2:12" x14ac:dyDescent="0.25">
      <c r="B668" s="15" t="s">
        <v>1455</v>
      </c>
      <c r="D668" s="1" t="s">
        <v>1479</v>
      </c>
      <c r="E668" s="15" t="s">
        <v>1476</v>
      </c>
      <c r="K668" s="7" t="str">
        <f t="shared" si="21"/>
        <v>Metter4</v>
      </c>
      <c r="L668" s="7" t="str">
        <f t="shared" si="22"/>
        <v>Set_CurentR</v>
      </c>
    </row>
    <row r="669" spans="2:12" x14ac:dyDescent="0.25">
      <c r="B669" s="15" t="s">
        <v>1456</v>
      </c>
      <c r="D669" s="1" t="s">
        <v>1479</v>
      </c>
      <c r="E669" s="15" t="s">
        <v>1477</v>
      </c>
      <c r="K669" s="7" t="str">
        <f t="shared" si="21"/>
        <v>Metter4</v>
      </c>
      <c r="L669" s="7" t="str">
        <f t="shared" si="22"/>
        <v>Set_CurentS</v>
      </c>
    </row>
    <row r="670" spans="2:12" x14ac:dyDescent="0.25">
      <c r="B670" s="15" t="s">
        <v>1457</v>
      </c>
      <c r="D670" s="1" t="s">
        <v>1479</v>
      </c>
      <c r="E670" s="15" t="s">
        <v>1478</v>
      </c>
      <c r="K670" s="7" t="str">
        <f t="shared" si="21"/>
        <v>Metter4</v>
      </c>
      <c r="L670" s="7" t="str">
        <f t="shared" si="22"/>
        <v>Set_CurentT</v>
      </c>
    </row>
    <row r="671" spans="2:12" x14ac:dyDescent="0.25">
      <c r="B671" s="15" t="s">
        <v>1458</v>
      </c>
      <c r="D671" s="1" t="s">
        <v>1479</v>
      </c>
      <c r="E671" s="15" t="s">
        <v>1476</v>
      </c>
      <c r="K671" s="7" t="str">
        <f t="shared" si="21"/>
        <v>Metter5</v>
      </c>
      <c r="L671" s="7" t="str">
        <f t="shared" si="22"/>
        <v>Set_CurentR</v>
      </c>
    </row>
    <row r="672" spans="2:12" x14ac:dyDescent="0.25">
      <c r="B672" s="15" t="s">
        <v>1459</v>
      </c>
      <c r="D672" s="1" t="s">
        <v>1479</v>
      </c>
      <c r="E672" s="15" t="s">
        <v>1477</v>
      </c>
      <c r="K672" s="7" t="str">
        <f t="shared" si="21"/>
        <v>Metter5</v>
      </c>
      <c r="L672" s="7" t="str">
        <f t="shared" si="22"/>
        <v>Set_CurentS</v>
      </c>
    </row>
    <row r="673" spans="2:12" x14ac:dyDescent="0.25">
      <c r="B673" s="15" t="s">
        <v>1460</v>
      </c>
      <c r="D673" s="1" t="s">
        <v>1479</v>
      </c>
      <c r="E673" s="15" t="s">
        <v>1478</v>
      </c>
      <c r="K673" s="7" t="str">
        <f t="shared" si="21"/>
        <v>Metter5</v>
      </c>
      <c r="L673" s="7" t="str">
        <f t="shared" si="22"/>
        <v>Set_CurentT</v>
      </c>
    </row>
    <row r="674" spans="2:12" x14ac:dyDescent="0.25">
      <c r="B674" s="15" t="s">
        <v>1461</v>
      </c>
      <c r="D674" s="1" t="s">
        <v>1479</v>
      </c>
      <c r="E674" s="15" t="s">
        <v>1476</v>
      </c>
      <c r="K674" s="7" t="str">
        <f t="shared" si="21"/>
        <v>Metter6</v>
      </c>
      <c r="L674" s="7" t="str">
        <f t="shared" si="22"/>
        <v>Set_CurentR</v>
      </c>
    </row>
    <row r="675" spans="2:12" x14ac:dyDescent="0.25">
      <c r="B675" s="15" t="s">
        <v>1462</v>
      </c>
      <c r="D675" s="1" t="s">
        <v>1479</v>
      </c>
      <c r="E675" s="15" t="s">
        <v>1477</v>
      </c>
      <c r="K675" s="7" t="str">
        <f t="shared" si="21"/>
        <v>Metter6</v>
      </c>
      <c r="L675" s="7" t="str">
        <f t="shared" si="22"/>
        <v>Set_CurentS</v>
      </c>
    </row>
    <row r="676" spans="2:12" x14ac:dyDescent="0.25">
      <c r="B676" s="15" t="s">
        <v>1463</v>
      </c>
      <c r="D676" s="1" t="s">
        <v>1479</v>
      </c>
      <c r="E676" s="15" t="s">
        <v>1478</v>
      </c>
      <c r="K676" s="7" t="str">
        <f t="shared" si="21"/>
        <v>Metter6</v>
      </c>
      <c r="L676" s="7" t="str">
        <f t="shared" si="22"/>
        <v>Set_CurentT</v>
      </c>
    </row>
    <row r="677" spans="2:12" x14ac:dyDescent="0.25">
      <c r="B677" s="15" t="s">
        <v>1464</v>
      </c>
      <c r="D677" s="1" t="s">
        <v>1479</v>
      </c>
      <c r="E677" s="15" t="s">
        <v>1476</v>
      </c>
      <c r="K677" s="7" t="str">
        <f t="shared" si="21"/>
        <v>Metter7</v>
      </c>
      <c r="L677" s="7" t="str">
        <f t="shared" si="22"/>
        <v>Set_CurentR</v>
      </c>
    </row>
    <row r="678" spans="2:12" x14ac:dyDescent="0.25">
      <c r="B678" s="15" t="s">
        <v>1465</v>
      </c>
      <c r="D678" s="1" t="s">
        <v>1479</v>
      </c>
      <c r="E678" s="15" t="s">
        <v>1477</v>
      </c>
      <c r="K678" s="7" t="str">
        <f t="shared" si="21"/>
        <v>Metter7</v>
      </c>
      <c r="L678" s="7" t="str">
        <f t="shared" si="22"/>
        <v>Set_CurentS</v>
      </c>
    </row>
    <row r="679" spans="2:12" x14ac:dyDescent="0.25">
      <c r="B679" s="15" t="s">
        <v>1466</v>
      </c>
      <c r="D679" s="1" t="s">
        <v>1479</v>
      </c>
      <c r="E679" s="15" t="s">
        <v>1478</v>
      </c>
      <c r="K679" s="7" t="str">
        <f t="shared" si="21"/>
        <v>Metter7</v>
      </c>
      <c r="L679" s="7" t="str">
        <f t="shared" si="22"/>
        <v>Set_CurentT</v>
      </c>
    </row>
    <row r="680" spans="2:12" x14ac:dyDescent="0.25">
      <c r="B680" s="15" t="s">
        <v>1467</v>
      </c>
      <c r="D680" s="1" t="s">
        <v>1479</v>
      </c>
      <c r="E680" s="15" t="s">
        <v>1476</v>
      </c>
      <c r="K680" s="7" t="str">
        <f t="shared" si="21"/>
        <v>Metter8</v>
      </c>
      <c r="L680" s="7" t="str">
        <f t="shared" si="22"/>
        <v>Set_CurentR</v>
      </c>
    </row>
    <row r="681" spans="2:12" x14ac:dyDescent="0.25">
      <c r="B681" s="15" t="s">
        <v>1468</v>
      </c>
      <c r="D681" s="1" t="s">
        <v>1479</v>
      </c>
      <c r="E681" s="15" t="s">
        <v>1477</v>
      </c>
      <c r="K681" s="7" t="str">
        <f t="shared" si="21"/>
        <v>Metter8</v>
      </c>
      <c r="L681" s="7" t="str">
        <f t="shared" si="22"/>
        <v>Set_CurentS</v>
      </c>
    </row>
    <row r="682" spans="2:12" x14ac:dyDescent="0.25">
      <c r="B682" s="15" t="s">
        <v>1469</v>
      </c>
      <c r="D682" s="1" t="s">
        <v>1479</v>
      </c>
      <c r="E682" s="15" t="s">
        <v>1478</v>
      </c>
      <c r="K682" s="7" t="str">
        <f t="shared" si="21"/>
        <v>Metter8</v>
      </c>
      <c r="L682" s="7" t="str">
        <f t="shared" si="22"/>
        <v>Set_CurentT</v>
      </c>
    </row>
    <row r="683" spans="2:12" x14ac:dyDescent="0.25">
      <c r="B683" s="15" t="s">
        <v>1470</v>
      </c>
      <c r="D683" s="1" t="s">
        <v>1479</v>
      </c>
      <c r="E683" s="15" t="s">
        <v>1476</v>
      </c>
      <c r="K683" s="7" t="str">
        <f t="shared" si="21"/>
        <v>Metter9</v>
      </c>
      <c r="L683" s="7" t="str">
        <f t="shared" si="22"/>
        <v>Set_CurentR</v>
      </c>
    </row>
    <row r="684" spans="2:12" x14ac:dyDescent="0.25">
      <c r="B684" s="15" t="s">
        <v>1471</v>
      </c>
      <c r="D684" s="1" t="s">
        <v>1479</v>
      </c>
      <c r="E684" s="15" t="s">
        <v>1477</v>
      </c>
      <c r="K684" s="7" t="str">
        <f t="shared" si="21"/>
        <v>Metter9</v>
      </c>
      <c r="L684" s="7" t="str">
        <f t="shared" si="22"/>
        <v>Set_CurentS</v>
      </c>
    </row>
    <row r="685" spans="2:12" x14ac:dyDescent="0.25">
      <c r="B685" s="15" t="s">
        <v>1472</v>
      </c>
      <c r="D685" s="1" t="s">
        <v>1479</v>
      </c>
      <c r="E685" s="15" t="s">
        <v>1478</v>
      </c>
      <c r="K685" s="7" t="str">
        <f t="shared" si="21"/>
        <v>Metter9</v>
      </c>
      <c r="L685" s="7" t="str">
        <f t="shared" si="22"/>
        <v>Set_CurentT</v>
      </c>
    </row>
    <row r="686" spans="2:12" x14ac:dyDescent="0.25">
      <c r="B686" s="15" t="s">
        <v>1473</v>
      </c>
      <c r="D686" s="1" t="s">
        <v>1479</v>
      </c>
      <c r="E686" s="15" t="s">
        <v>1476</v>
      </c>
      <c r="K686" s="7" t="str">
        <f t="shared" si="21"/>
        <v>Metter10</v>
      </c>
      <c r="L686" s="7" t="str">
        <f t="shared" si="22"/>
        <v>Set_CurentR</v>
      </c>
    </row>
    <row r="687" spans="2:12" x14ac:dyDescent="0.25">
      <c r="B687" s="15" t="s">
        <v>1474</v>
      </c>
      <c r="D687" s="1" t="s">
        <v>1479</v>
      </c>
      <c r="E687" s="15" t="s">
        <v>1477</v>
      </c>
      <c r="K687" s="7" t="str">
        <f t="shared" si="21"/>
        <v>Metter10</v>
      </c>
      <c r="L687" s="7" t="str">
        <f t="shared" si="22"/>
        <v>Set_CurentS</v>
      </c>
    </row>
    <row r="688" spans="2:12" x14ac:dyDescent="0.25">
      <c r="B688" s="15" t="s">
        <v>1475</v>
      </c>
      <c r="D688" s="1" t="s">
        <v>1479</v>
      </c>
      <c r="E688" s="15" t="s">
        <v>1478</v>
      </c>
      <c r="K688" s="7" t="str">
        <f t="shared" si="21"/>
        <v>Metter10</v>
      </c>
      <c r="L688" s="7" t="str">
        <f t="shared" si="22"/>
        <v>Set_CurentT</v>
      </c>
    </row>
  </sheetData>
  <mergeCells count="11">
    <mergeCell ref="G564:G595"/>
    <mergeCell ref="G4:G59"/>
    <mergeCell ref="G60:G115"/>
    <mergeCell ref="G116:G171"/>
    <mergeCell ref="G172:G227"/>
    <mergeCell ref="G228:G283"/>
    <mergeCell ref="G284:G339"/>
    <mergeCell ref="G340:G395"/>
    <mergeCell ref="G396:G451"/>
    <mergeCell ref="G452:G507"/>
    <mergeCell ref="G508:G56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376F-0EC9-4857-A85F-33B885FADA5E}">
  <dimension ref="A1:E650"/>
  <sheetViews>
    <sheetView workbookViewId="0">
      <selection activeCell="D11" sqref="D11"/>
    </sheetView>
  </sheetViews>
  <sheetFormatPr defaultRowHeight="15" x14ac:dyDescent="0.25"/>
  <cols>
    <col min="2" max="2" width="39.5703125" customWidth="1"/>
    <col min="3" max="3" width="14.42578125" customWidth="1"/>
    <col min="4" max="4" width="11.85546875" customWidth="1"/>
    <col min="5" max="5" width="29.85546875" customWidth="1"/>
  </cols>
  <sheetData>
    <row r="1" spans="1:5" x14ac:dyDescent="0.25">
      <c r="A1" s="5" t="s">
        <v>1</v>
      </c>
      <c r="B1" s="5" t="s">
        <v>0</v>
      </c>
      <c r="C1" s="5" t="s">
        <v>2</v>
      </c>
      <c r="D1" s="5" t="s">
        <v>3</v>
      </c>
      <c r="E1" s="5" t="s">
        <v>4</v>
      </c>
    </row>
    <row r="2" spans="1:5" x14ac:dyDescent="0.25">
      <c r="A2" s="2">
        <v>1</v>
      </c>
      <c r="B2" s="3" t="s">
        <v>5</v>
      </c>
      <c r="C2" s="2" t="s">
        <v>6</v>
      </c>
      <c r="D2" s="2" t="s">
        <v>7</v>
      </c>
      <c r="E2" s="3" t="s">
        <v>1355</v>
      </c>
    </row>
    <row r="3" spans="1:5" x14ac:dyDescent="0.25">
      <c r="A3" s="2">
        <v>2</v>
      </c>
      <c r="B3" s="3" t="s">
        <v>8</v>
      </c>
      <c r="C3" s="2" t="s">
        <v>9</v>
      </c>
      <c r="D3" s="2" t="s">
        <v>7</v>
      </c>
      <c r="E3" s="3" t="s">
        <v>1306</v>
      </c>
    </row>
    <row r="4" spans="1:5" x14ac:dyDescent="0.25">
      <c r="A4" s="2">
        <v>3</v>
      </c>
      <c r="B4" s="3" t="s">
        <v>10</v>
      </c>
      <c r="C4" s="2" t="s">
        <v>11</v>
      </c>
      <c r="D4" s="2" t="s">
        <v>7</v>
      </c>
      <c r="E4" s="3" t="s">
        <v>1307</v>
      </c>
    </row>
    <row r="5" spans="1:5" x14ac:dyDescent="0.25">
      <c r="A5" s="2">
        <v>4</v>
      </c>
      <c r="B5" s="3" t="s">
        <v>12</v>
      </c>
      <c r="C5" s="2" t="s">
        <v>13</v>
      </c>
      <c r="D5" s="2" t="s">
        <v>7</v>
      </c>
      <c r="E5" s="3" t="s">
        <v>1307</v>
      </c>
    </row>
    <row r="6" spans="1:5" x14ac:dyDescent="0.25">
      <c r="A6" s="2">
        <v>5</v>
      </c>
      <c r="B6" s="3" t="s">
        <v>14</v>
      </c>
      <c r="C6" s="2" t="s">
        <v>15</v>
      </c>
      <c r="D6" s="2" t="s">
        <v>7</v>
      </c>
      <c r="E6" s="3" t="s">
        <v>1356</v>
      </c>
    </row>
    <row r="7" spans="1:5" x14ac:dyDescent="0.25">
      <c r="A7" s="2">
        <v>6</v>
      </c>
      <c r="B7" s="3" t="s">
        <v>16</v>
      </c>
      <c r="C7" s="2" t="s">
        <v>17</v>
      </c>
      <c r="D7" s="2" t="s">
        <v>7</v>
      </c>
      <c r="E7" s="3" t="s">
        <v>1307</v>
      </c>
    </row>
    <row r="8" spans="1:5" x14ac:dyDescent="0.25">
      <c r="A8" s="2">
        <v>7</v>
      </c>
      <c r="B8" s="3" t="s">
        <v>18</v>
      </c>
      <c r="C8" s="2" t="s">
        <v>19</v>
      </c>
      <c r="D8" s="2" t="s">
        <v>7</v>
      </c>
      <c r="E8" s="3" t="s">
        <v>1357</v>
      </c>
    </row>
    <row r="9" spans="1:5" x14ac:dyDescent="0.25">
      <c r="A9" s="2">
        <v>8</v>
      </c>
      <c r="B9" s="3" t="s">
        <v>20</v>
      </c>
      <c r="C9" s="2" t="s">
        <v>21</v>
      </c>
      <c r="D9" s="2" t="s">
        <v>7</v>
      </c>
      <c r="E9" s="3" t="s">
        <v>1358</v>
      </c>
    </row>
    <row r="10" spans="1:5" x14ac:dyDescent="0.25">
      <c r="A10" s="2">
        <v>9</v>
      </c>
      <c r="B10" s="3" t="s">
        <v>22</v>
      </c>
      <c r="C10" s="2" t="s">
        <v>23</v>
      </c>
      <c r="D10" s="2" t="s">
        <v>24</v>
      </c>
      <c r="E10" s="3" t="s">
        <v>1352</v>
      </c>
    </row>
    <row r="11" spans="1:5" x14ac:dyDescent="0.25">
      <c r="A11" s="2">
        <v>10</v>
      </c>
      <c r="B11" s="3" t="s">
        <v>25</v>
      </c>
      <c r="C11" s="2" t="s">
        <v>26</v>
      </c>
      <c r="D11" s="2" t="s">
        <v>24</v>
      </c>
      <c r="E11" s="3" t="s">
        <v>1353</v>
      </c>
    </row>
    <row r="12" spans="1:5" x14ac:dyDescent="0.25">
      <c r="A12" s="2">
        <v>11</v>
      </c>
      <c r="B12" s="3" t="s">
        <v>27</v>
      </c>
      <c r="C12" s="2" t="s">
        <v>28</v>
      </c>
      <c r="D12" s="2" t="s">
        <v>24</v>
      </c>
      <c r="E12" s="3" t="s">
        <v>1308</v>
      </c>
    </row>
    <row r="13" spans="1:5" x14ac:dyDescent="0.25">
      <c r="A13" s="2">
        <v>12</v>
      </c>
      <c r="B13" s="3" t="s">
        <v>29</v>
      </c>
      <c r="C13" s="2" t="s">
        <v>30</v>
      </c>
      <c r="D13" s="2" t="s">
        <v>24</v>
      </c>
      <c r="E13" s="3" t="s">
        <v>1309</v>
      </c>
    </row>
    <row r="14" spans="1:5" x14ac:dyDescent="0.25">
      <c r="A14" s="2">
        <v>13</v>
      </c>
      <c r="B14" s="3" t="s">
        <v>31</v>
      </c>
      <c r="C14" s="2" t="s">
        <v>32</v>
      </c>
      <c r="D14" s="2" t="s">
        <v>24</v>
      </c>
      <c r="E14" s="3" t="s">
        <v>1310</v>
      </c>
    </row>
    <row r="15" spans="1:5" x14ac:dyDescent="0.25">
      <c r="A15" s="2">
        <v>14</v>
      </c>
      <c r="B15" s="3" t="s">
        <v>33</v>
      </c>
      <c r="C15" s="2" t="s">
        <v>34</v>
      </c>
      <c r="D15" s="2" t="s">
        <v>35</v>
      </c>
      <c r="E15" s="3" t="s">
        <v>1315</v>
      </c>
    </row>
    <row r="16" spans="1:5" x14ac:dyDescent="0.25">
      <c r="A16" s="2">
        <v>15</v>
      </c>
      <c r="B16" s="3" t="s">
        <v>36</v>
      </c>
      <c r="C16" s="2" t="s">
        <v>37</v>
      </c>
      <c r="D16" s="2" t="s">
        <v>35</v>
      </c>
      <c r="E16" s="3" t="s">
        <v>1316</v>
      </c>
    </row>
    <row r="17" spans="1:5" x14ac:dyDescent="0.25">
      <c r="A17" s="2">
        <v>16</v>
      </c>
      <c r="B17" s="3" t="s">
        <v>38</v>
      </c>
      <c r="C17" s="2" t="s">
        <v>39</v>
      </c>
      <c r="D17" s="2" t="s">
        <v>35</v>
      </c>
      <c r="E17" s="3" t="s">
        <v>1317</v>
      </c>
    </row>
    <row r="18" spans="1:5" x14ac:dyDescent="0.25">
      <c r="A18" s="2">
        <v>17</v>
      </c>
      <c r="B18" s="3" t="s">
        <v>40</v>
      </c>
      <c r="C18" s="2" t="s">
        <v>41</v>
      </c>
      <c r="D18" s="2" t="s">
        <v>35</v>
      </c>
      <c r="E18" s="3" t="s">
        <v>1318</v>
      </c>
    </row>
    <row r="19" spans="1:5" x14ac:dyDescent="0.25">
      <c r="A19" s="2">
        <v>18</v>
      </c>
      <c r="B19" s="3" t="s">
        <v>42</v>
      </c>
      <c r="C19" s="2" t="s">
        <v>43</v>
      </c>
      <c r="D19" s="2" t="s">
        <v>35</v>
      </c>
      <c r="E19" s="3" t="s">
        <v>1319</v>
      </c>
    </row>
    <row r="20" spans="1:5" x14ac:dyDescent="0.25">
      <c r="A20" s="2">
        <v>19</v>
      </c>
      <c r="B20" s="3" t="s">
        <v>44</v>
      </c>
      <c r="C20" s="2" t="s">
        <v>45</v>
      </c>
      <c r="D20" s="2" t="s">
        <v>35</v>
      </c>
      <c r="E20" s="3" t="s">
        <v>1320</v>
      </c>
    </row>
    <row r="21" spans="1:5" x14ac:dyDescent="0.25">
      <c r="A21" s="2">
        <v>20</v>
      </c>
      <c r="B21" s="3" t="s">
        <v>46</v>
      </c>
      <c r="C21" s="2" t="s">
        <v>47</v>
      </c>
      <c r="D21" s="2" t="s">
        <v>35</v>
      </c>
      <c r="E21" s="3" t="s">
        <v>1321</v>
      </c>
    </row>
    <row r="22" spans="1:5" x14ac:dyDescent="0.25">
      <c r="A22" s="2">
        <v>21</v>
      </c>
      <c r="B22" s="3" t="s">
        <v>48</v>
      </c>
      <c r="C22" s="2" t="s">
        <v>49</v>
      </c>
      <c r="D22" s="2" t="s">
        <v>35</v>
      </c>
      <c r="E22" s="3" t="s">
        <v>1322</v>
      </c>
    </row>
    <row r="23" spans="1:5" x14ac:dyDescent="0.25">
      <c r="A23" s="2">
        <v>22</v>
      </c>
      <c r="B23" s="3" t="s">
        <v>50</v>
      </c>
      <c r="C23" s="2" t="s">
        <v>51</v>
      </c>
      <c r="D23" s="2" t="s">
        <v>35</v>
      </c>
      <c r="E23" s="3" t="s">
        <v>1312</v>
      </c>
    </row>
    <row r="24" spans="1:5" x14ac:dyDescent="0.25">
      <c r="A24" s="2">
        <v>23</v>
      </c>
      <c r="B24" s="3" t="s">
        <v>52</v>
      </c>
      <c r="C24" s="2" t="s">
        <v>53</v>
      </c>
      <c r="D24" s="2" t="s">
        <v>35</v>
      </c>
      <c r="E24" s="3" t="s">
        <v>1313</v>
      </c>
    </row>
    <row r="25" spans="1:5" x14ac:dyDescent="0.25">
      <c r="A25" s="2">
        <v>24</v>
      </c>
      <c r="B25" s="3" t="s">
        <v>54</v>
      </c>
      <c r="C25" s="2" t="s">
        <v>55</v>
      </c>
      <c r="D25" s="2" t="s">
        <v>35</v>
      </c>
      <c r="E25" s="3" t="s">
        <v>1314</v>
      </c>
    </row>
    <row r="26" spans="1:5" x14ac:dyDescent="0.25">
      <c r="A26" s="2">
        <v>25</v>
      </c>
      <c r="B26" s="3" t="s">
        <v>56</v>
      </c>
      <c r="C26" s="2" t="s">
        <v>57</v>
      </c>
      <c r="D26" s="2" t="s">
        <v>35</v>
      </c>
      <c r="E26" s="3" t="s">
        <v>1311</v>
      </c>
    </row>
    <row r="27" spans="1:5" x14ac:dyDescent="0.25">
      <c r="A27" s="2">
        <v>26</v>
      </c>
      <c r="B27" s="3" t="s">
        <v>58</v>
      </c>
      <c r="C27" s="2" t="s">
        <v>59</v>
      </c>
      <c r="D27" s="2" t="s">
        <v>35</v>
      </c>
      <c r="E27" s="3" t="s">
        <v>1323</v>
      </c>
    </row>
    <row r="28" spans="1:5" x14ac:dyDescent="0.25">
      <c r="A28" s="2">
        <v>27</v>
      </c>
      <c r="B28" s="3" t="s">
        <v>60</v>
      </c>
      <c r="C28" s="2" t="s">
        <v>61</v>
      </c>
      <c r="D28" s="2" t="s">
        <v>35</v>
      </c>
      <c r="E28" s="3" t="s">
        <v>1324</v>
      </c>
    </row>
    <row r="29" spans="1:5" x14ac:dyDescent="0.25">
      <c r="A29" s="2">
        <v>28</v>
      </c>
      <c r="B29" s="3" t="s">
        <v>62</v>
      </c>
      <c r="C29" s="2" t="s">
        <v>63</v>
      </c>
      <c r="D29" s="2" t="s">
        <v>35</v>
      </c>
      <c r="E29" s="3" t="s">
        <v>1325</v>
      </c>
    </row>
    <row r="30" spans="1:5" x14ac:dyDescent="0.25">
      <c r="A30" s="2">
        <v>29</v>
      </c>
      <c r="B30" s="3" t="s">
        <v>64</v>
      </c>
      <c r="C30" s="2" t="s">
        <v>65</v>
      </c>
      <c r="D30" s="2" t="s">
        <v>35</v>
      </c>
      <c r="E30" s="3" t="s">
        <v>1326</v>
      </c>
    </row>
    <row r="31" spans="1:5" x14ac:dyDescent="0.25">
      <c r="A31" s="2">
        <v>30</v>
      </c>
      <c r="B31" s="3" t="s">
        <v>66</v>
      </c>
      <c r="C31" s="2" t="s">
        <v>67</v>
      </c>
      <c r="D31" s="2" t="s">
        <v>35</v>
      </c>
      <c r="E31" s="3" t="s">
        <v>1327</v>
      </c>
    </row>
    <row r="32" spans="1:5" x14ac:dyDescent="0.25">
      <c r="A32" s="2">
        <v>31</v>
      </c>
      <c r="B32" s="3" t="s">
        <v>68</v>
      </c>
      <c r="C32" s="2" t="s">
        <v>69</v>
      </c>
      <c r="D32" s="2" t="s">
        <v>35</v>
      </c>
      <c r="E32" s="3" t="s">
        <v>1328</v>
      </c>
    </row>
    <row r="33" spans="1:5" x14ac:dyDescent="0.25">
      <c r="A33" s="2">
        <v>32</v>
      </c>
      <c r="B33" s="3" t="s">
        <v>70</v>
      </c>
      <c r="C33" s="2" t="s">
        <v>71</v>
      </c>
      <c r="D33" s="2" t="s">
        <v>35</v>
      </c>
      <c r="E33" s="3" t="s">
        <v>1329</v>
      </c>
    </row>
    <row r="34" spans="1:5" x14ac:dyDescent="0.25">
      <c r="A34" s="2">
        <v>33</v>
      </c>
      <c r="B34" s="3" t="s">
        <v>72</v>
      </c>
      <c r="C34" s="2" t="s">
        <v>73</v>
      </c>
      <c r="D34" s="2" t="s">
        <v>35</v>
      </c>
      <c r="E34" s="3" t="s">
        <v>1330</v>
      </c>
    </row>
    <row r="35" spans="1:5" x14ac:dyDescent="0.25">
      <c r="A35" s="2">
        <v>34</v>
      </c>
      <c r="B35" s="3" t="s">
        <v>74</v>
      </c>
      <c r="C35" s="2" t="s">
        <v>75</v>
      </c>
      <c r="D35" s="2" t="s">
        <v>35</v>
      </c>
      <c r="E35" s="3" t="s">
        <v>1331</v>
      </c>
    </row>
    <row r="36" spans="1:5" x14ac:dyDescent="0.25">
      <c r="A36" s="2">
        <v>35</v>
      </c>
      <c r="B36" s="3" t="s">
        <v>76</v>
      </c>
      <c r="C36" s="2" t="s">
        <v>77</v>
      </c>
      <c r="D36" s="2" t="s">
        <v>35</v>
      </c>
      <c r="E36" s="3" t="s">
        <v>1332</v>
      </c>
    </row>
    <row r="37" spans="1:5" x14ac:dyDescent="0.25">
      <c r="A37" s="2">
        <v>36</v>
      </c>
      <c r="B37" s="3" t="s">
        <v>78</v>
      </c>
      <c r="C37" s="2" t="s">
        <v>79</v>
      </c>
      <c r="D37" s="2" t="s">
        <v>35</v>
      </c>
      <c r="E37" s="3" t="s">
        <v>1333</v>
      </c>
    </row>
    <row r="38" spans="1:5" x14ac:dyDescent="0.25">
      <c r="A38" s="2">
        <v>37</v>
      </c>
      <c r="B38" s="3" t="s">
        <v>80</v>
      </c>
      <c r="C38" s="2" t="s">
        <v>81</v>
      </c>
      <c r="D38" s="2" t="s">
        <v>35</v>
      </c>
      <c r="E38" s="3" t="s">
        <v>1334</v>
      </c>
    </row>
    <row r="39" spans="1:5" x14ac:dyDescent="0.25">
      <c r="A39" s="2">
        <v>38</v>
      </c>
      <c r="B39" s="3" t="s">
        <v>82</v>
      </c>
      <c r="C39" s="2" t="s">
        <v>83</v>
      </c>
      <c r="D39" s="2" t="s">
        <v>35</v>
      </c>
      <c r="E39" s="3" t="s">
        <v>1335</v>
      </c>
    </row>
    <row r="40" spans="1:5" x14ac:dyDescent="0.25">
      <c r="A40" s="2">
        <v>39</v>
      </c>
      <c r="B40" s="3" t="s">
        <v>84</v>
      </c>
      <c r="C40" s="2" t="s">
        <v>85</v>
      </c>
      <c r="D40" s="2" t="s">
        <v>35</v>
      </c>
      <c r="E40" s="3" t="s">
        <v>1336</v>
      </c>
    </row>
    <row r="41" spans="1:5" x14ac:dyDescent="0.25">
      <c r="A41" s="2">
        <v>40</v>
      </c>
      <c r="B41" s="3" t="s">
        <v>86</v>
      </c>
      <c r="C41" s="2" t="s">
        <v>87</v>
      </c>
      <c r="D41" s="2" t="s">
        <v>35</v>
      </c>
      <c r="E41" s="3" t="s">
        <v>1337</v>
      </c>
    </row>
    <row r="42" spans="1:5" x14ac:dyDescent="0.25">
      <c r="A42" s="2">
        <v>41</v>
      </c>
      <c r="B42" s="3" t="s">
        <v>88</v>
      </c>
      <c r="C42" s="2" t="s">
        <v>89</v>
      </c>
      <c r="D42" s="2" t="s">
        <v>35</v>
      </c>
      <c r="E42" s="3" t="s">
        <v>1338</v>
      </c>
    </row>
    <row r="43" spans="1:5" x14ac:dyDescent="0.25">
      <c r="A43" s="2">
        <v>42</v>
      </c>
      <c r="B43" s="3" t="s">
        <v>90</v>
      </c>
      <c r="C43" s="2" t="s">
        <v>91</v>
      </c>
      <c r="D43" s="2" t="s">
        <v>35</v>
      </c>
      <c r="E43" s="3" t="s">
        <v>1339</v>
      </c>
    </row>
    <row r="44" spans="1:5" x14ac:dyDescent="0.25">
      <c r="A44" s="2">
        <v>43</v>
      </c>
      <c r="B44" s="3" t="s">
        <v>92</v>
      </c>
      <c r="C44" s="2" t="s">
        <v>93</v>
      </c>
      <c r="D44" s="2" t="s">
        <v>35</v>
      </c>
      <c r="E44" s="3" t="s">
        <v>1340</v>
      </c>
    </row>
    <row r="45" spans="1:5" x14ac:dyDescent="0.25">
      <c r="A45" s="2">
        <v>44</v>
      </c>
      <c r="B45" s="3" t="s">
        <v>94</v>
      </c>
      <c r="C45" s="2" t="s">
        <v>95</v>
      </c>
      <c r="D45" s="2" t="s">
        <v>35</v>
      </c>
      <c r="E45" s="3" t="s">
        <v>1341</v>
      </c>
    </row>
    <row r="46" spans="1:5" x14ac:dyDescent="0.25">
      <c r="A46" s="2">
        <v>45</v>
      </c>
      <c r="B46" s="3" t="s">
        <v>96</v>
      </c>
      <c r="C46" s="2" t="s">
        <v>97</v>
      </c>
      <c r="D46" s="2" t="s">
        <v>35</v>
      </c>
      <c r="E46" s="3" t="s">
        <v>1342</v>
      </c>
    </row>
    <row r="47" spans="1:5" x14ac:dyDescent="0.25">
      <c r="A47" s="2">
        <v>46</v>
      </c>
      <c r="B47" s="3" t="s">
        <v>98</v>
      </c>
      <c r="C47" s="2" t="s">
        <v>99</v>
      </c>
      <c r="D47" s="2" t="s">
        <v>7</v>
      </c>
      <c r="E47" s="3" t="s">
        <v>1343</v>
      </c>
    </row>
    <row r="48" spans="1:5" x14ac:dyDescent="0.25">
      <c r="A48" s="2">
        <v>47</v>
      </c>
      <c r="B48" s="3" t="s">
        <v>100</v>
      </c>
      <c r="C48" s="2" t="s">
        <v>101</v>
      </c>
      <c r="D48" s="2" t="s">
        <v>7</v>
      </c>
      <c r="E48" s="3" t="s">
        <v>1354</v>
      </c>
    </row>
    <row r="49" spans="1:5" x14ac:dyDescent="0.25">
      <c r="A49" s="2">
        <v>48</v>
      </c>
      <c r="B49" s="3" t="s">
        <v>102</v>
      </c>
      <c r="C49" s="2" t="s">
        <v>103</v>
      </c>
      <c r="D49" s="2" t="s">
        <v>7</v>
      </c>
      <c r="E49" s="3" t="s">
        <v>1344</v>
      </c>
    </row>
    <row r="50" spans="1:5" x14ac:dyDescent="0.25">
      <c r="A50" s="2">
        <v>49</v>
      </c>
      <c r="B50" s="3" t="s">
        <v>104</v>
      </c>
      <c r="C50" s="2" t="s">
        <v>105</v>
      </c>
      <c r="D50" s="2" t="s">
        <v>7</v>
      </c>
      <c r="E50" s="3" t="s">
        <v>1345</v>
      </c>
    </row>
    <row r="51" spans="1:5" x14ac:dyDescent="0.25">
      <c r="A51" s="2">
        <v>50</v>
      </c>
      <c r="B51" s="3" t="s">
        <v>106</v>
      </c>
      <c r="C51" s="2" t="s">
        <v>107</v>
      </c>
      <c r="D51" s="2" t="s">
        <v>7</v>
      </c>
      <c r="E51" s="3" t="s">
        <v>1346</v>
      </c>
    </row>
    <row r="52" spans="1:5" x14ac:dyDescent="0.25">
      <c r="A52" s="2">
        <v>51</v>
      </c>
      <c r="B52" s="3" t="s">
        <v>108</v>
      </c>
      <c r="C52" s="2" t="s">
        <v>109</v>
      </c>
      <c r="D52" s="2" t="s">
        <v>24</v>
      </c>
      <c r="E52" s="3" t="s">
        <v>1347</v>
      </c>
    </row>
    <row r="53" spans="1:5" x14ac:dyDescent="0.25">
      <c r="A53" s="2">
        <v>52</v>
      </c>
      <c r="B53" s="3" t="s">
        <v>110</v>
      </c>
      <c r="C53" s="2" t="s">
        <v>111</v>
      </c>
      <c r="D53" s="2" t="s">
        <v>24</v>
      </c>
      <c r="E53" s="3" t="s">
        <v>1348</v>
      </c>
    </row>
    <row r="54" spans="1:5" x14ac:dyDescent="0.25">
      <c r="A54" s="2">
        <v>53</v>
      </c>
      <c r="B54" s="3" t="s">
        <v>112</v>
      </c>
      <c r="C54" s="2" t="s">
        <v>113</v>
      </c>
      <c r="D54" s="2" t="s">
        <v>24</v>
      </c>
      <c r="E54" s="3" t="s">
        <v>1349</v>
      </c>
    </row>
    <row r="55" spans="1:5" x14ac:dyDescent="0.25">
      <c r="A55" s="2">
        <v>54</v>
      </c>
      <c r="B55" s="3" t="s">
        <v>114</v>
      </c>
      <c r="C55" s="2" t="s">
        <v>115</v>
      </c>
      <c r="D55" s="2" t="s">
        <v>24</v>
      </c>
      <c r="E55" s="3" t="s">
        <v>1350</v>
      </c>
    </row>
    <row r="56" spans="1:5" x14ac:dyDescent="0.25">
      <c r="A56" s="2">
        <v>55</v>
      </c>
      <c r="B56" s="3" t="s">
        <v>116</v>
      </c>
      <c r="C56" s="2" t="s">
        <v>117</v>
      </c>
      <c r="D56" s="2" t="s">
        <v>24</v>
      </c>
      <c r="E56" s="3" t="s">
        <v>1351</v>
      </c>
    </row>
    <row r="57" spans="1:5" x14ac:dyDescent="0.25">
      <c r="A57" s="2">
        <v>56</v>
      </c>
      <c r="B57" s="3" t="s">
        <v>118</v>
      </c>
      <c r="C57" s="2" t="s">
        <v>119</v>
      </c>
      <c r="D57" s="2" t="s">
        <v>7</v>
      </c>
      <c r="E57" s="3" t="s">
        <v>1355</v>
      </c>
    </row>
    <row r="58" spans="1:5" x14ac:dyDescent="0.25">
      <c r="A58" s="2">
        <v>57</v>
      </c>
      <c r="B58" s="3" t="s">
        <v>120</v>
      </c>
      <c r="C58" s="2" t="s">
        <v>121</v>
      </c>
      <c r="D58" s="2" t="s">
        <v>7</v>
      </c>
      <c r="E58" s="3" t="s">
        <v>1306</v>
      </c>
    </row>
    <row r="59" spans="1:5" x14ac:dyDescent="0.25">
      <c r="A59" s="2">
        <v>58</v>
      </c>
      <c r="B59" s="3" t="s">
        <v>122</v>
      </c>
      <c r="C59" s="2" t="s">
        <v>123</v>
      </c>
      <c r="D59" s="2" t="s">
        <v>7</v>
      </c>
      <c r="E59" s="3" t="s">
        <v>1307</v>
      </c>
    </row>
    <row r="60" spans="1:5" x14ac:dyDescent="0.25">
      <c r="A60" s="2">
        <v>59</v>
      </c>
      <c r="B60" s="3" t="s">
        <v>124</v>
      </c>
      <c r="C60" s="2" t="s">
        <v>125</v>
      </c>
      <c r="D60" s="2" t="s">
        <v>7</v>
      </c>
      <c r="E60" s="3" t="s">
        <v>1307</v>
      </c>
    </row>
    <row r="61" spans="1:5" x14ac:dyDescent="0.25">
      <c r="A61" s="2">
        <v>60</v>
      </c>
      <c r="B61" s="3" t="s">
        <v>126</v>
      </c>
      <c r="C61" s="2" t="s">
        <v>127</v>
      </c>
      <c r="D61" s="2" t="s">
        <v>7</v>
      </c>
      <c r="E61" s="3" t="s">
        <v>1356</v>
      </c>
    </row>
    <row r="62" spans="1:5" x14ac:dyDescent="0.25">
      <c r="A62" s="2">
        <v>61</v>
      </c>
      <c r="B62" s="3" t="s">
        <v>128</v>
      </c>
      <c r="C62" s="2" t="s">
        <v>129</v>
      </c>
      <c r="D62" s="2" t="s">
        <v>7</v>
      </c>
      <c r="E62" s="3" t="s">
        <v>1307</v>
      </c>
    </row>
    <row r="63" spans="1:5" x14ac:dyDescent="0.25">
      <c r="A63" s="2">
        <v>62</v>
      </c>
      <c r="B63" s="3" t="s">
        <v>130</v>
      </c>
      <c r="C63" s="2" t="s">
        <v>131</v>
      </c>
      <c r="D63" s="2" t="s">
        <v>7</v>
      </c>
      <c r="E63" s="3" t="s">
        <v>1357</v>
      </c>
    </row>
    <row r="64" spans="1:5" x14ac:dyDescent="0.25">
      <c r="A64" s="2">
        <v>63</v>
      </c>
      <c r="B64" s="3" t="s">
        <v>132</v>
      </c>
      <c r="C64" s="2" t="s">
        <v>133</v>
      </c>
      <c r="D64" s="2" t="s">
        <v>7</v>
      </c>
      <c r="E64" s="3" t="s">
        <v>1358</v>
      </c>
    </row>
    <row r="65" spans="1:5" x14ac:dyDescent="0.25">
      <c r="A65" s="2">
        <v>64</v>
      </c>
      <c r="B65" s="3" t="s">
        <v>134</v>
      </c>
      <c r="C65" s="2" t="s">
        <v>135</v>
      </c>
      <c r="D65" s="2" t="s">
        <v>24</v>
      </c>
      <c r="E65" s="3" t="s">
        <v>1352</v>
      </c>
    </row>
    <row r="66" spans="1:5" x14ac:dyDescent="0.25">
      <c r="A66" s="2">
        <v>65</v>
      </c>
      <c r="B66" s="3" t="s">
        <v>136</v>
      </c>
      <c r="C66" s="2" t="s">
        <v>137</v>
      </c>
      <c r="D66" s="2" t="s">
        <v>24</v>
      </c>
      <c r="E66" s="3" t="s">
        <v>1353</v>
      </c>
    </row>
    <row r="67" spans="1:5" x14ac:dyDescent="0.25">
      <c r="A67" s="2">
        <v>66</v>
      </c>
      <c r="B67" s="3" t="s">
        <v>138</v>
      </c>
      <c r="C67" s="2" t="s">
        <v>139</v>
      </c>
      <c r="D67" s="2" t="s">
        <v>24</v>
      </c>
      <c r="E67" s="3" t="s">
        <v>1308</v>
      </c>
    </row>
    <row r="68" spans="1:5" x14ac:dyDescent="0.25">
      <c r="A68" s="2">
        <v>67</v>
      </c>
      <c r="B68" s="3" t="s">
        <v>140</v>
      </c>
      <c r="C68" s="2" t="s">
        <v>141</v>
      </c>
      <c r="D68" s="2" t="s">
        <v>24</v>
      </c>
      <c r="E68" s="3" t="s">
        <v>1309</v>
      </c>
    </row>
    <row r="69" spans="1:5" x14ac:dyDescent="0.25">
      <c r="A69" s="2">
        <v>68</v>
      </c>
      <c r="B69" s="3" t="s">
        <v>142</v>
      </c>
      <c r="C69" s="2" t="s">
        <v>143</v>
      </c>
      <c r="D69" s="2" t="s">
        <v>24</v>
      </c>
      <c r="E69" s="3" t="s">
        <v>1310</v>
      </c>
    </row>
    <row r="70" spans="1:5" x14ac:dyDescent="0.25">
      <c r="A70" s="2">
        <v>69</v>
      </c>
      <c r="B70" s="3" t="s">
        <v>144</v>
      </c>
      <c r="C70" s="2" t="s">
        <v>145</v>
      </c>
      <c r="D70" s="2" t="s">
        <v>35</v>
      </c>
      <c r="E70" s="3" t="s">
        <v>1315</v>
      </c>
    </row>
    <row r="71" spans="1:5" x14ac:dyDescent="0.25">
      <c r="A71" s="2">
        <v>70</v>
      </c>
      <c r="B71" s="3" t="s">
        <v>146</v>
      </c>
      <c r="C71" s="2" t="s">
        <v>147</v>
      </c>
      <c r="D71" s="2" t="s">
        <v>35</v>
      </c>
      <c r="E71" s="3" t="s">
        <v>1316</v>
      </c>
    </row>
    <row r="72" spans="1:5" x14ac:dyDescent="0.25">
      <c r="A72" s="2">
        <v>71</v>
      </c>
      <c r="B72" s="3" t="s">
        <v>148</v>
      </c>
      <c r="C72" s="2" t="s">
        <v>149</v>
      </c>
      <c r="D72" s="2" t="s">
        <v>35</v>
      </c>
      <c r="E72" s="3" t="s">
        <v>1317</v>
      </c>
    </row>
    <row r="73" spans="1:5" x14ac:dyDescent="0.25">
      <c r="A73" s="2">
        <v>72</v>
      </c>
      <c r="B73" s="3" t="s">
        <v>150</v>
      </c>
      <c r="C73" s="2" t="s">
        <v>151</v>
      </c>
      <c r="D73" s="2" t="s">
        <v>35</v>
      </c>
      <c r="E73" s="3" t="s">
        <v>1318</v>
      </c>
    </row>
    <row r="74" spans="1:5" x14ac:dyDescent="0.25">
      <c r="A74" s="2">
        <v>73</v>
      </c>
      <c r="B74" s="3" t="s">
        <v>152</v>
      </c>
      <c r="C74" s="2" t="s">
        <v>153</v>
      </c>
      <c r="D74" s="2" t="s">
        <v>35</v>
      </c>
      <c r="E74" s="3" t="s">
        <v>1319</v>
      </c>
    </row>
    <row r="75" spans="1:5" x14ac:dyDescent="0.25">
      <c r="A75" s="2">
        <v>74</v>
      </c>
      <c r="B75" s="3" t="s">
        <v>154</v>
      </c>
      <c r="C75" s="2" t="s">
        <v>155</v>
      </c>
      <c r="D75" s="2" t="s">
        <v>35</v>
      </c>
      <c r="E75" s="3" t="s">
        <v>1320</v>
      </c>
    </row>
    <row r="76" spans="1:5" x14ac:dyDescent="0.25">
      <c r="A76" s="2">
        <v>75</v>
      </c>
      <c r="B76" s="3" t="s">
        <v>156</v>
      </c>
      <c r="C76" s="2" t="s">
        <v>157</v>
      </c>
      <c r="D76" s="2" t="s">
        <v>35</v>
      </c>
      <c r="E76" s="3" t="s">
        <v>1321</v>
      </c>
    </row>
    <row r="77" spans="1:5" x14ac:dyDescent="0.25">
      <c r="A77" s="2">
        <v>76</v>
      </c>
      <c r="B77" s="3" t="s">
        <v>158</v>
      </c>
      <c r="C77" s="2" t="s">
        <v>159</v>
      </c>
      <c r="D77" s="2" t="s">
        <v>35</v>
      </c>
      <c r="E77" s="3" t="s">
        <v>1322</v>
      </c>
    </row>
    <row r="78" spans="1:5" x14ac:dyDescent="0.25">
      <c r="A78" s="2">
        <v>77</v>
      </c>
      <c r="B78" s="3" t="s">
        <v>160</v>
      </c>
      <c r="C78" s="2" t="s">
        <v>161</v>
      </c>
      <c r="D78" s="2" t="s">
        <v>35</v>
      </c>
      <c r="E78" s="3" t="s">
        <v>1312</v>
      </c>
    </row>
    <row r="79" spans="1:5" x14ac:dyDescent="0.25">
      <c r="A79" s="2">
        <v>78</v>
      </c>
      <c r="B79" s="3" t="s">
        <v>162</v>
      </c>
      <c r="C79" s="2" t="s">
        <v>163</v>
      </c>
      <c r="D79" s="2" t="s">
        <v>35</v>
      </c>
      <c r="E79" s="3" t="s">
        <v>1313</v>
      </c>
    </row>
    <row r="80" spans="1:5" x14ac:dyDescent="0.25">
      <c r="A80" s="2">
        <v>79</v>
      </c>
      <c r="B80" s="3" t="s">
        <v>164</v>
      </c>
      <c r="C80" s="2" t="s">
        <v>165</v>
      </c>
      <c r="D80" s="2" t="s">
        <v>35</v>
      </c>
      <c r="E80" s="3" t="s">
        <v>1314</v>
      </c>
    </row>
    <row r="81" spans="1:5" x14ac:dyDescent="0.25">
      <c r="A81" s="2">
        <v>80</v>
      </c>
      <c r="B81" s="3" t="s">
        <v>166</v>
      </c>
      <c r="C81" s="2" t="s">
        <v>167</v>
      </c>
      <c r="D81" s="2" t="s">
        <v>35</v>
      </c>
      <c r="E81" s="3" t="s">
        <v>1311</v>
      </c>
    </row>
    <row r="82" spans="1:5" x14ac:dyDescent="0.25">
      <c r="A82" s="2">
        <v>81</v>
      </c>
      <c r="B82" s="3" t="s">
        <v>168</v>
      </c>
      <c r="C82" s="2" t="s">
        <v>169</v>
      </c>
      <c r="D82" s="2" t="s">
        <v>35</v>
      </c>
      <c r="E82" s="3" t="s">
        <v>1323</v>
      </c>
    </row>
    <row r="83" spans="1:5" x14ac:dyDescent="0.25">
      <c r="A83" s="2">
        <v>82</v>
      </c>
      <c r="B83" s="3" t="s">
        <v>170</v>
      </c>
      <c r="C83" s="2" t="s">
        <v>171</v>
      </c>
      <c r="D83" s="2" t="s">
        <v>35</v>
      </c>
      <c r="E83" s="3" t="s">
        <v>1324</v>
      </c>
    </row>
    <row r="84" spans="1:5" x14ac:dyDescent="0.25">
      <c r="A84" s="2">
        <v>83</v>
      </c>
      <c r="B84" s="3" t="s">
        <v>172</v>
      </c>
      <c r="C84" s="2" t="s">
        <v>173</v>
      </c>
      <c r="D84" s="2" t="s">
        <v>35</v>
      </c>
      <c r="E84" s="3" t="s">
        <v>1325</v>
      </c>
    </row>
    <row r="85" spans="1:5" x14ac:dyDescent="0.25">
      <c r="A85" s="2">
        <v>84</v>
      </c>
      <c r="B85" s="3" t="s">
        <v>174</v>
      </c>
      <c r="C85" s="2" t="s">
        <v>175</v>
      </c>
      <c r="D85" s="2" t="s">
        <v>35</v>
      </c>
      <c r="E85" s="3" t="s">
        <v>1326</v>
      </c>
    </row>
    <row r="86" spans="1:5" x14ac:dyDescent="0.25">
      <c r="A86" s="2">
        <v>85</v>
      </c>
      <c r="B86" s="3" t="s">
        <v>176</v>
      </c>
      <c r="C86" s="2" t="s">
        <v>177</v>
      </c>
      <c r="D86" s="2" t="s">
        <v>35</v>
      </c>
      <c r="E86" s="3" t="s">
        <v>1327</v>
      </c>
    </row>
    <row r="87" spans="1:5" x14ac:dyDescent="0.25">
      <c r="A87" s="2">
        <v>86</v>
      </c>
      <c r="B87" s="3" t="s">
        <v>178</v>
      </c>
      <c r="C87" s="2" t="s">
        <v>179</v>
      </c>
      <c r="D87" s="2" t="s">
        <v>35</v>
      </c>
      <c r="E87" s="3" t="s">
        <v>1328</v>
      </c>
    </row>
    <row r="88" spans="1:5" x14ac:dyDescent="0.25">
      <c r="A88" s="2">
        <v>87</v>
      </c>
      <c r="B88" s="3" t="s">
        <v>180</v>
      </c>
      <c r="C88" s="2" t="s">
        <v>181</v>
      </c>
      <c r="D88" s="2" t="s">
        <v>35</v>
      </c>
      <c r="E88" s="3" t="s">
        <v>1329</v>
      </c>
    </row>
    <row r="89" spans="1:5" x14ac:dyDescent="0.25">
      <c r="A89" s="2">
        <v>88</v>
      </c>
      <c r="B89" s="3" t="s">
        <v>182</v>
      </c>
      <c r="C89" s="2" t="s">
        <v>183</v>
      </c>
      <c r="D89" s="2" t="s">
        <v>35</v>
      </c>
      <c r="E89" s="3" t="s">
        <v>1330</v>
      </c>
    </row>
    <row r="90" spans="1:5" x14ac:dyDescent="0.25">
      <c r="A90" s="2">
        <v>89</v>
      </c>
      <c r="B90" s="3" t="s">
        <v>184</v>
      </c>
      <c r="C90" s="2" t="s">
        <v>185</v>
      </c>
      <c r="D90" s="2" t="s">
        <v>35</v>
      </c>
      <c r="E90" s="3" t="s">
        <v>1331</v>
      </c>
    </row>
    <row r="91" spans="1:5" x14ac:dyDescent="0.25">
      <c r="A91" s="2">
        <v>90</v>
      </c>
      <c r="B91" s="3" t="s">
        <v>186</v>
      </c>
      <c r="C91" s="2" t="s">
        <v>187</v>
      </c>
      <c r="D91" s="2" t="s">
        <v>35</v>
      </c>
      <c r="E91" s="3" t="s">
        <v>1332</v>
      </c>
    </row>
    <row r="92" spans="1:5" x14ac:dyDescent="0.25">
      <c r="A92" s="2">
        <v>91</v>
      </c>
      <c r="B92" s="3" t="s">
        <v>188</v>
      </c>
      <c r="C92" s="2" t="s">
        <v>189</v>
      </c>
      <c r="D92" s="2" t="s">
        <v>35</v>
      </c>
      <c r="E92" s="3" t="s">
        <v>1333</v>
      </c>
    </row>
    <row r="93" spans="1:5" x14ac:dyDescent="0.25">
      <c r="A93" s="2">
        <v>92</v>
      </c>
      <c r="B93" s="3" t="s">
        <v>190</v>
      </c>
      <c r="C93" s="2" t="s">
        <v>191</v>
      </c>
      <c r="D93" s="2" t="s">
        <v>35</v>
      </c>
      <c r="E93" s="3" t="s">
        <v>1334</v>
      </c>
    </row>
    <row r="94" spans="1:5" x14ac:dyDescent="0.25">
      <c r="A94" s="2">
        <v>93</v>
      </c>
      <c r="B94" s="3" t="s">
        <v>192</v>
      </c>
      <c r="C94" s="2" t="s">
        <v>193</v>
      </c>
      <c r="D94" s="2" t="s">
        <v>35</v>
      </c>
      <c r="E94" s="3" t="s">
        <v>1335</v>
      </c>
    </row>
    <row r="95" spans="1:5" x14ac:dyDescent="0.25">
      <c r="A95" s="2">
        <v>94</v>
      </c>
      <c r="B95" s="3" t="s">
        <v>194</v>
      </c>
      <c r="C95" s="2" t="s">
        <v>195</v>
      </c>
      <c r="D95" s="2" t="s">
        <v>35</v>
      </c>
      <c r="E95" s="3" t="s">
        <v>1336</v>
      </c>
    </row>
    <row r="96" spans="1:5" x14ac:dyDescent="0.25">
      <c r="A96" s="2">
        <v>95</v>
      </c>
      <c r="B96" s="3" t="s">
        <v>196</v>
      </c>
      <c r="C96" s="2" t="s">
        <v>197</v>
      </c>
      <c r="D96" s="2" t="s">
        <v>35</v>
      </c>
      <c r="E96" s="3" t="s">
        <v>1337</v>
      </c>
    </row>
    <row r="97" spans="1:5" x14ac:dyDescent="0.25">
      <c r="A97" s="2">
        <v>96</v>
      </c>
      <c r="B97" s="3" t="s">
        <v>198</v>
      </c>
      <c r="C97" s="2" t="s">
        <v>199</v>
      </c>
      <c r="D97" s="2" t="s">
        <v>35</v>
      </c>
      <c r="E97" s="3" t="s">
        <v>1338</v>
      </c>
    </row>
    <row r="98" spans="1:5" x14ac:dyDescent="0.25">
      <c r="A98" s="2">
        <v>97</v>
      </c>
      <c r="B98" s="3" t="s">
        <v>200</v>
      </c>
      <c r="C98" s="2" t="s">
        <v>201</v>
      </c>
      <c r="D98" s="2" t="s">
        <v>35</v>
      </c>
      <c r="E98" s="3" t="s">
        <v>1339</v>
      </c>
    </row>
    <row r="99" spans="1:5" x14ac:dyDescent="0.25">
      <c r="A99" s="2">
        <v>98</v>
      </c>
      <c r="B99" s="3" t="s">
        <v>202</v>
      </c>
      <c r="C99" s="2" t="s">
        <v>203</v>
      </c>
      <c r="D99" s="2" t="s">
        <v>35</v>
      </c>
      <c r="E99" s="3" t="s">
        <v>1340</v>
      </c>
    </row>
    <row r="100" spans="1:5" x14ac:dyDescent="0.25">
      <c r="A100" s="2">
        <v>99</v>
      </c>
      <c r="B100" s="3" t="s">
        <v>204</v>
      </c>
      <c r="C100" s="2" t="s">
        <v>205</v>
      </c>
      <c r="D100" s="2" t="s">
        <v>35</v>
      </c>
      <c r="E100" s="3" t="s">
        <v>1341</v>
      </c>
    </row>
    <row r="101" spans="1:5" x14ac:dyDescent="0.25">
      <c r="A101" s="2">
        <v>100</v>
      </c>
      <c r="B101" s="3" t="s">
        <v>206</v>
      </c>
      <c r="C101" s="2" t="s">
        <v>207</v>
      </c>
      <c r="D101" s="2" t="s">
        <v>35</v>
      </c>
      <c r="E101" s="3" t="s">
        <v>1342</v>
      </c>
    </row>
    <row r="102" spans="1:5" x14ac:dyDescent="0.25">
      <c r="A102" s="2">
        <v>101</v>
      </c>
      <c r="B102" s="3" t="s">
        <v>208</v>
      </c>
      <c r="C102" s="2" t="s">
        <v>209</v>
      </c>
      <c r="D102" s="2" t="s">
        <v>7</v>
      </c>
      <c r="E102" s="3" t="s">
        <v>1343</v>
      </c>
    </row>
    <row r="103" spans="1:5" x14ac:dyDescent="0.25">
      <c r="A103" s="2">
        <v>102</v>
      </c>
      <c r="B103" s="3" t="s">
        <v>210</v>
      </c>
      <c r="C103" s="2" t="s">
        <v>211</v>
      </c>
      <c r="D103" s="2" t="s">
        <v>7</v>
      </c>
      <c r="E103" s="3" t="s">
        <v>1354</v>
      </c>
    </row>
    <row r="104" spans="1:5" x14ac:dyDescent="0.25">
      <c r="A104" s="2">
        <v>103</v>
      </c>
      <c r="B104" s="3" t="s">
        <v>212</v>
      </c>
      <c r="C104" s="2" t="s">
        <v>213</v>
      </c>
      <c r="D104" s="2" t="s">
        <v>7</v>
      </c>
      <c r="E104" s="3" t="s">
        <v>1344</v>
      </c>
    </row>
    <row r="105" spans="1:5" x14ac:dyDescent="0.25">
      <c r="A105" s="2">
        <v>104</v>
      </c>
      <c r="B105" s="3" t="s">
        <v>214</v>
      </c>
      <c r="C105" s="2" t="s">
        <v>215</v>
      </c>
      <c r="D105" s="2" t="s">
        <v>7</v>
      </c>
      <c r="E105" s="3" t="s">
        <v>1345</v>
      </c>
    </row>
    <row r="106" spans="1:5" x14ac:dyDescent="0.25">
      <c r="A106" s="2">
        <v>105</v>
      </c>
      <c r="B106" s="3" t="s">
        <v>216</v>
      </c>
      <c r="C106" s="2" t="s">
        <v>217</v>
      </c>
      <c r="D106" s="2" t="s">
        <v>7</v>
      </c>
      <c r="E106" s="3" t="s">
        <v>1346</v>
      </c>
    </row>
    <row r="107" spans="1:5" x14ac:dyDescent="0.25">
      <c r="A107" s="2">
        <v>106</v>
      </c>
      <c r="B107" s="3" t="s">
        <v>218</v>
      </c>
      <c r="C107" s="2" t="s">
        <v>219</v>
      </c>
      <c r="D107" s="2" t="s">
        <v>24</v>
      </c>
      <c r="E107" s="3" t="s">
        <v>1347</v>
      </c>
    </row>
    <row r="108" spans="1:5" x14ac:dyDescent="0.25">
      <c r="A108" s="2">
        <v>107</v>
      </c>
      <c r="B108" s="3" t="s">
        <v>220</v>
      </c>
      <c r="C108" s="2" t="s">
        <v>221</v>
      </c>
      <c r="D108" s="2" t="s">
        <v>24</v>
      </c>
      <c r="E108" s="3" t="s">
        <v>1348</v>
      </c>
    </row>
    <row r="109" spans="1:5" x14ac:dyDescent="0.25">
      <c r="A109" s="2">
        <v>108</v>
      </c>
      <c r="B109" s="3" t="s">
        <v>222</v>
      </c>
      <c r="C109" s="2" t="s">
        <v>223</v>
      </c>
      <c r="D109" s="2" t="s">
        <v>24</v>
      </c>
      <c r="E109" s="3" t="s">
        <v>1349</v>
      </c>
    </row>
    <row r="110" spans="1:5" x14ac:dyDescent="0.25">
      <c r="A110" s="2">
        <v>109</v>
      </c>
      <c r="B110" s="3" t="s">
        <v>224</v>
      </c>
      <c r="C110" s="2" t="s">
        <v>225</v>
      </c>
      <c r="D110" s="2" t="s">
        <v>24</v>
      </c>
      <c r="E110" s="3" t="s">
        <v>1350</v>
      </c>
    </row>
    <row r="111" spans="1:5" x14ac:dyDescent="0.25">
      <c r="A111" s="2">
        <v>110</v>
      </c>
      <c r="B111" s="3" t="s">
        <v>226</v>
      </c>
      <c r="C111" s="2" t="s">
        <v>227</v>
      </c>
      <c r="D111" s="2" t="s">
        <v>24</v>
      </c>
      <c r="E111" s="3" t="s">
        <v>1351</v>
      </c>
    </row>
    <row r="112" spans="1:5" x14ac:dyDescent="0.25">
      <c r="A112" s="2">
        <v>111</v>
      </c>
      <c r="B112" s="3" t="s">
        <v>228</v>
      </c>
      <c r="C112" s="2" t="s">
        <v>229</v>
      </c>
      <c r="D112" s="2" t="s">
        <v>7</v>
      </c>
      <c r="E112" s="3" t="s">
        <v>1355</v>
      </c>
    </row>
    <row r="113" spans="1:5" x14ac:dyDescent="0.25">
      <c r="A113" s="2">
        <v>112</v>
      </c>
      <c r="B113" s="3" t="s">
        <v>230</v>
      </c>
      <c r="C113" s="2" t="s">
        <v>231</v>
      </c>
      <c r="D113" s="2" t="s">
        <v>7</v>
      </c>
      <c r="E113" s="3" t="s">
        <v>1306</v>
      </c>
    </row>
    <row r="114" spans="1:5" x14ac:dyDescent="0.25">
      <c r="A114" s="2">
        <v>113</v>
      </c>
      <c r="B114" s="3" t="s">
        <v>232</v>
      </c>
      <c r="C114" s="2" t="s">
        <v>233</v>
      </c>
      <c r="D114" s="2" t="s">
        <v>7</v>
      </c>
      <c r="E114" s="3" t="s">
        <v>1307</v>
      </c>
    </row>
    <row r="115" spans="1:5" x14ac:dyDescent="0.25">
      <c r="A115" s="2">
        <v>114</v>
      </c>
      <c r="B115" s="3" t="s">
        <v>234</v>
      </c>
      <c r="C115" s="2" t="s">
        <v>235</v>
      </c>
      <c r="D115" s="2" t="s">
        <v>7</v>
      </c>
      <c r="E115" s="3" t="s">
        <v>1307</v>
      </c>
    </row>
    <row r="116" spans="1:5" x14ac:dyDescent="0.25">
      <c r="A116" s="2">
        <v>115</v>
      </c>
      <c r="B116" s="3" t="s">
        <v>236</v>
      </c>
      <c r="C116" s="2" t="s">
        <v>237</v>
      </c>
      <c r="D116" s="2" t="s">
        <v>7</v>
      </c>
      <c r="E116" s="3" t="s">
        <v>1356</v>
      </c>
    </row>
    <row r="117" spans="1:5" x14ac:dyDescent="0.25">
      <c r="A117" s="2">
        <v>116</v>
      </c>
      <c r="B117" s="3" t="s">
        <v>238</v>
      </c>
      <c r="C117" s="2" t="s">
        <v>239</v>
      </c>
      <c r="D117" s="2" t="s">
        <v>7</v>
      </c>
      <c r="E117" s="3" t="s">
        <v>1307</v>
      </c>
    </row>
    <row r="118" spans="1:5" x14ac:dyDescent="0.25">
      <c r="A118" s="2">
        <v>117</v>
      </c>
      <c r="B118" s="3" t="s">
        <v>240</v>
      </c>
      <c r="C118" s="2" t="s">
        <v>241</v>
      </c>
      <c r="D118" s="2" t="s">
        <v>7</v>
      </c>
      <c r="E118" s="3" t="s">
        <v>1357</v>
      </c>
    </row>
    <row r="119" spans="1:5" x14ac:dyDescent="0.25">
      <c r="A119" s="2">
        <v>118</v>
      </c>
      <c r="B119" s="3" t="s">
        <v>242</v>
      </c>
      <c r="C119" s="2" t="s">
        <v>243</v>
      </c>
      <c r="D119" s="2" t="s">
        <v>7</v>
      </c>
      <c r="E119" s="3" t="s">
        <v>1358</v>
      </c>
    </row>
    <row r="120" spans="1:5" x14ac:dyDescent="0.25">
      <c r="A120" s="2">
        <v>119</v>
      </c>
      <c r="B120" s="3" t="s">
        <v>244</v>
      </c>
      <c r="C120" s="2" t="s">
        <v>245</v>
      </c>
      <c r="D120" s="2" t="s">
        <v>24</v>
      </c>
      <c r="E120" s="3" t="s">
        <v>1352</v>
      </c>
    </row>
    <row r="121" spans="1:5" x14ac:dyDescent="0.25">
      <c r="A121" s="2">
        <v>120</v>
      </c>
      <c r="B121" s="3" t="s">
        <v>246</v>
      </c>
      <c r="C121" s="2" t="s">
        <v>247</v>
      </c>
      <c r="D121" s="2" t="s">
        <v>24</v>
      </c>
      <c r="E121" s="3" t="s">
        <v>1353</v>
      </c>
    </row>
    <row r="122" spans="1:5" x14ac:dyDescent="0.25">
      <c r="A122" s="2">
        <v>121</v>
      </c>
      <c r="B122" s="3" t="s">
        <v>248</v>
      </c>
      <c r="C122" s="2" t="s">
        <v>249</v>
      </c>
      <c r="D122" s="2" t="s">
        <v>24</v>
      </c>
      <c r="E122" s="3" t="s">
        <v>1308</v>
      </c>
    </row>
    <row r="123" spans="1:5" x14ac:dyDescent="0.25">
      <c r="A123" s="2">
        <v>122</v>
      </c>
      <c r="B123" s="3" t="s">
        <v>250</v>
      </c>
      <c r="C123" s="2" t="s">
        <v>251</v>
      </c>
      <c r="D123" s="2" t="s">
        <v>24</v>
      </c>
      <c r="E123" s="3" t="s">
        <v>1309</v>
      </c>
    </row>
    <row r="124" spans="1:5" x14ac:dyDescent="0.25">
      <c r="A124" s="2">
        <v>123</v>
      </c>
      <c r="B124" s="3" t="s">
        <v>252</v>
      </c>
      <c r="C124" s="2" t="s">
        <v>253</v>
      </c>
      <c r="D124" s="2" t="s">
        <v>24</v>
      </c>
      <c r="E124" s="3" t="s">
        <v>1310</v>
      </c>
    </row>
    <row r="125" spans="1:5" x14ac:dyDescent="0.25">
      <c r="A125" s="2">
        <v>124</v>
      </c>
      <c r="B125" s="3" t="s">
        <v>254</v>
      </c>
      <c r="C125" s="2" t="s">
        <v>255</v>
      </c>
      <c r="D125" s="2" t="s">
        <v>35</v>
      </c>
      <c r="E125" s="3" t="s">
        <v>1315</v>
      </c>
    </row>
    <row r="126" spans="1:5" x14ac:dyDescent="0.25">
      <c r="A126" s="2">
        <v>125</v>
      </c>
      <c r="B126" s="3" t="s">
        <v>256</v>
      </c>
      <c r="C126" s="2" t="s">
        <v>257</v>
      </c>
      <c r="D126" s="2" t="s">
        <v>35</v>
      </c>
      <c r="E126" s="3" t="s">
        <v>1316</v>
      </c>
    </row>
    <row r="127" spans="1:5" x14ac:dyDescent="0.25">
      <c r="A127" s="2">
        <v>126</v>
      </c>
      <c r="B127" s="3" t="s">
        <v>258</v>
      </c>
      <c r="C127" s="2" t="s">
        <v>259</v>
      </c>
      <c r="D127" s="2" t="s">
        <v>35</v>
      </c>
      <c r="E127" s="3" t="s">
        <v>1317</v>
      </c>
    </row>
    <row r="128" spans="1:5" x14ac:dyDescent="0.25">
      <c r="A128" s="2">
        <v>127</v>
      </c>
      <c r="B128" s="3" t="s">
        <v>260</v>
      </c>
      <c r="C128" s="2" t="s">
        <v>261</v>
      </c>
      <c r="D128" s="2" t="s">
        <v>35</v>
      </c>
      <c r="E128" s="3" t="s">
        <v>1318</v>
      </c>
    </row>
    <row r="129" spans="1:5" x14ac:dyDescent="0.25">
      <c r="A129" s="2">
        <v>128</v>
      </c>
      <c r="B129" s="3" t="s">
        <v>262</v>
      </c>
      <c r="C129" s="2" t="s">
        <v>263</v>
      </c>
      <c r="D129" s="2" t="s">
        <v>35</v>
      </c>
      <c r="E129" s="3" t="s">
        <v>1319</v>
      </c>
    </row>
    <row r="130" spans="1:5" x14ac:dyDescent="0.25">
      <c r="A130" s="2">
        <v>129</v>
      </c>
      <c r="B130" s="3" t="s">
        <v>264</v>
      </c>
      <c r="C130" s="2" t="s">
        <v>265</v>
      </c>
      <c r="D130" s="2" t="s">
        <v>35</v>
      </c>
      <c r="E130" s="3" t="s">
        <v>1320</v>
      </c>
    </row>
    <row r="131" spans="1:5" x14ac:dyDescent="0.25">
      <c r="A131" s="2">
        <v>130</v>
      </c>
      <c r="B131" s="3" t="s">
        <v>266</v>
      </c>
      <c r="C131" s="2" t="s">
        <v>267</v>
      </c>
      <c r="D131" s="2" t="s">
        <v>35</v>
      </c>
      <c r="E131" s="3" t="s">
        <v>1321</v>
      </c>
    </row>
    <row r="132" spans="1:5" x14ac:dyDescent="0.25">
      <c r="A132" s="2">
        <v>131</v>
      </c>
      <c r="B132" s="3" t="s">
        <v>268</v>
      </c>
      <c r="C132" s="2" t="s">
        <v>269</v>
      </c>
      <c r="D132" s="2" t="s">
        <v>35</v>
      </c>
      <c r="E132" s="3" t="s">
        <v>1322</v>
      </c>
    </row>
    <row r="133" spans="1:5" x14ac:dyDescent="0.25">
      <c r="A133" s="2">
        <v>132</v>
      </c>
      <c r="B133" s="3" t="s">
        <v>270</v>
      </c>
      <c r="C133" s="2" t="s">
        <v>271</v>
      </c>
      <c r="D133" s="2" t="s">
        <v>35</v>
      </c>
      <c r="E133" s="3" t="s">
        <v>1312</v>
      </c>
    </row>
    <row r="134" spans="1:5" x14ac:dyDescent="0.25">
      <c r="A134" s="2">
        <v>133</v>
      </c>
      <c r="B134" s="3" t="s">
        <v>272</v>
      </c>
      <c r="C134" s="2" t="s">
        <v>273</v>
      </c>
      <c r="D134" s="2" t="s">
        <v>35</v>
      </c>
      <c r="E134" s="3" t="s">
        <v>1313</v>
      </c>
    </row>
    <row r="135" spans="1:5" x14ac:dyDescent="0.25">
      <c r="A135" s="2">
        <v>134</v>
      </c>
      <c r="B135" s="3" t="s">
        <v>274</v>
      </c>
      <c r="C135" s="2" t="s">
        <v>275</v>
      </c>
      <c r="D135" s="2" t="s">
        <v>35</v>
      </c>
      <c r="E135" s="3" t="s">
        <v>1314</v>
      </c>
    </row>
    <row r="136" spans="1:5" x14ac:dyDescent="0.25">
      <c r="A136" s="2">
        <v>135</v>
      </c>
      <c r="B136" s="3" t="s">
        <v>276</v>
      </c>
      <c r="C136" s="2" t="s">
        <v>277</v>
      </c>
      <c r="D136" s="2" t="s">
        <v>35</v>
      </c>
      <c r="E136" s="3" t="s">
        <v>1311</v>
      </c>
    </row>
    <row r="137" spans="1:5" x14ac:dyDescent="0.25">
      <c r="A137" s="2">
        <v>136</v>
      </c>
      <c r="B137" s="3" t="s">
        <v>278</v>
      </c>
      <c r="C137" s="2" t="s">
        <v>279</v>
      </c>
      <c r="D137" s="2" t="s">
        <v>35</v>
      </c>
      <c r="E137" s="3" t="s">
        <v>1323</v>
      </c>
    </row>
    <row r="138" spans="1:5" x14ac:dyDescent="0.25">
      <c r="A138" s="2">
        <v>137</v>
      </c>
      <c r="B138" s="3" t="s">
        <v>280</v>
      </c>
      <c r="C138" s="2" t="s">
        <v>281</v>
      </c>
      <c r="D138" s="2" t="s">
        <v>35</v>
      </c>
      <c r="E138" s="3" t="s">
        <v>1324</v>
      </c>
    </row>
    <row r="139" spans="1:5" x14ac:dyDescent="0.25">
      <c r="A139" s="2">
        <v>138</v>
      </c>
      <c r="B139" s="3" t="s">
        <v>282</v>
      </c>
      <c r="C139" s="2" t="s">
        <v>283</v>
      </c>
      <c r="D139" s="2" t="s">
        <v>35</v>
      </c>
      <c r="E139" s="3" t="s">
        <v>1325</v>
      </c>
    </row>
    <row r="140" spans="1:5" x14ac:dyDescent="0.25">
      <c r="A140" s="2">
        <v>139</v>
      </c>
      <c r="B140" s="3" t="s">
        <v>284</v>
      </c>
      <c r="C140" s="2" t="s">
        <v>285</v>
      </c>
      <c r="D140" s="2" t="s">
        <v>35</v>
      </c>
      <c r="E140" s="3" t="s">
        <v>1326</v>
      </c>
    </row>
    <row r="141" spans="1:5" x14ac:dyDescent="0.25">
      <c r="A141" s="2">
        <v>140</v>
      </c>
      <c r="B141" s="3" t="s">
        <v>286</v>
      </c>
      <c r="C141" s="2" t="s">
        <v>287</v>
      </c>
      <c r="D141" s="2" t="s">
        <v>35</v>
      </c>
      <c r="E141" s="3" t="s">
        <v>1327</v>
      </c>
    </row>
    <row r="142" spans="1:5" x14ac:dyDescent="0.25">
      <c r="A142" s="2">
        <v>141</v>
      </c>
      <c r="B142" s="3" t="s">
        <v>288</v>
      </c>
      <c r="C142" s="2" t="s">
        <v>289</v>
      </c>
      <c r="D142" s="2" t="s">
        <v>35</v>
      </c>
      <c r="E142" s="3" t="s">
        <v>1328</v>
      </c>
    </row>
    <row r="143" spans="1:5" x14ac:dyDescent="0.25">
      <c r="A143" s="2">
        <v>142</v>
      </c>
      <c r="B143" s="3" t="s">
        <v>290</v>
      </c>
      <c r="C143" s="2" t="s">
        <v>291</v>
      </c>
      <c r="D143" s="2" t="s">
        <v>35</v>
      </c>
      <c r="E143" s="3" t="s">
        <v>1329</v>
      </c>
    </row>
    <row r="144" spans="1:5" x14ac:dyDescent="0.25">
      <c r="A144" s="2">
        <v>143</v>
      </c>
      <c r="B144" s="3" t="s">
        <v>292</v>
      </c>
      <c r="C144" s="2" t="s">
        <v>293</v>
      </c>
      <c r="D144" s="2" t="s">
        <v>35</v>
      </c>
      <c r="E144" s="3" t="s">
        <v>1330</v>
      </c>
    </row>
    <row r="145" spans="1:5" x14ac:dyDescent="0.25">
      <c r="A145" s="2">
        <v>144</v>
      </c>
      <c r="B145" s="3" t="s">
        <v>294</v>
      </c>
      <c r="C145" s="2" t="s">
        <v>295</v>
      </c>
      <c r="D145" s="2" t="s">
        <v>35</v>
      </c>
      <c r="E145" s="3" t="s">
        <v>1331</v>
      </c>
    </row>
    <row r="146" spans="1:5" x14ac:dyDescent="0.25">
      <c r="A146" s="2">
        <v>145</v>
      </c>
      <c r="B146" s="3" t="s">
        <v>296</v>
      </c>
      <c r="C146" s="2" t="s">
        <v>297</v>
      </c>
      <c r="D146" s="2" t="s">
        <v>35</v>
      </c>
      <c r="E146" s="3" t="s">
        <v>1332</v>
      </c>
    </row>
    <row r="147" spans="1:5" x14ac:dyDescent="0.25">
      <c r="A147" s="2">
        <v>146</v>
      </c>
      <c r="B147" s="3" t="s">
        <v>298</v>
      </c>
      <c r="C147" s="2" t="s">
        <v>299</v>
      </c>
      <c r="D147" s="2" t="s">
        <v>35</v>
      </c>
      <c r="E147" s="3" t="s">
        <v>1333</v>
      </c>
    </row>
    <row r="148" spans="1:5" x14ac:dyDescent="0.25">
      <c r="A148" s="2">
        <v>147</v>
      </c>
      <c r="B148" s="3" t="s">
        <v>300</v>
      </c>
      <c r="C148" s="2" t="s">
        <v>301</v>
      </c>
      <c r="D148" s="2" t="s">
        <v>35</v>
      </c>
      <c r="E148" s="3" t="s">
        <v>1334</v>
      </c>
    </row>
    <row r="149" spans="1:5" x14ac:dyDescent="0.25">
      <c r="A149" s="2">
        <v>148</v>
      </c>
      <c r="B149" s="3" t="s">
        <v>302</v>
      </c>
      <c r="C149" s="2" t="s">
        <v>303</v>
      </c>
      <c r="D149" s="2" t="s">
        <v>35</v>
      </c>
      <c r="E149" s="3" t="s">
        <v>1335</v>
      </c>
    </row>
    <row r="150" spans="1:5" x14ac:dyDescent="0.25">
      <c r="A150" s="2">
        <v>149</v>
      </c>
      <c r="B150" s="3" t="s">
        <v>304</v>
      </c>
      <c r="C150" s="2" t="s">
        <v>305</v>
      </c>
      <c r="D150" s="2" t="s">
        <v>35</v>
      </c>
      <c r="E150" s="3" t="s">
        <v>1336</v>
      </c>
    </row>
    <row r="151" spans="1:5" x14ac:dyDescent="0.25">
      <c r="A151" s="2">
        <v>150</v>
      </c>
      <c r="B151" s="3" t="s">
        <v>306</v>
      </c>
      <c r="C151" s="2" t="s">
        <v>307</v>
      </c>
      <c r="D151" s="2" t="s">
        <v>35</v>
      </c>
      <c r="E151" s="3" t="s">
        <v>1337</v>
      </c>
    </row>
    <row r="152" spans="1:5" x14ac:dyDescent="0.25">
      <c r="A152" s="2">
        <v>151</v>
      </c>
      <c r="B152" s="3" t="s">
        <v>308</v>
      </c>
      <c r="C152" s="2" t="s">
        <v>309</v>
      </c>
      <c r="D152" s="2" t="s">
        <v>35</v>
      </c>
      <c r="E152" s="3" t="s">
        <v>1338</v>
      </c>
    </row>
    <row r="153" spans="1:5" x14ac:dyDescent="0.25">
      <c r="A153" s="2">
        <v>152</v>
      </c>
      <c r="B153" s="3" t="s">
        <v>310</v>
      </c>
      <c r="C153" s="2" t="s">
        <v>311</v>
      </c>
      <c r="D153" s="2" t="s">
        <v>35</v>
      </c>
      <c r="E153" s="3" t="s">
        <v>1339</v>
      </c>
    </row>
    <row r="154" spans="1:5" x14ac:dyDescent="0.25">
      <c r="A154" s="2">
        <v>153</v>
      </c>
      <c r="B154" s="3" t="s">
        <v>312</v>
      </c>
      <c r="C154" s="2" t="s">
        <v>313</v>
      </c>
      <c r="D154" s="2" t="s">
        <v>35</v>
      </c>
      <c r="E154" s="3" t="s">
        <v>1340</v>
      </c>
    </row>
    <row r="155" spans="1:5" x14ac:dyDescent="0.25">
      <c r="A155" s="2">
        <v>154</v>
      </c>
      <c r="B155" s="3" t="s">
        <v>314</v>
      </c>
      <c r="C155" s="2" t="s">
        <v>315</v>
      </c>
      <c r="D155" s="2" t="s">
        <v>35</v>
      </c>
      <c r="E155" s="3" t="s">
        <v>1341</v>
      </c>
    </row>
    <row r="156" spans="1:5" x14ac:dyDescent="0.25">
      <c r="A156" s="2">
        <v>155</v>
      </c>
      <c r="B156" s="3" t="s">
        <v>316</v>
      </c>
      <c r="C156" s="2" t="s">
        <v>317</v>
      </c>
      <c r="D156" s="2" t="s">
        <v>35</v>
      </c>
      <c r="E156" s="3" t="s">
        <v>1342</v>
      </c>
    </row>
    <row r="157" spans="1:5" x14ac:dyDescent="0.25">
      <c r="A157" s="2">
        <v>156</v>
      </c>
      <c r="B157" s="3" t="s">
        <v>318</v>
      </c>
      <c r="C157" s="2" t="s">
        <v>319</v>
      </c>
      <c r="D157" s="2" t="s">
        <v>7</v>
      </c>
      <c r="E157" s="3" t="s">
        <v>1343</v>
      </c>
    </row>
    <row r="158" spans="1:5" x14ac:dyDescent="0.25">
      <c r="A158" s="2">
        <v>157</v>
      </c>
      <c r="B158" s="3" t="s">
        <v>320</v>
      </c>
      <c r="C158" s="2" t="s">
        <v>321</v>
      </c>
      <c r="D158" s="2" t="s">
        <v>7</v>
      </c>
      <c r="E158" s="3" t="s">
        <v>1354</v>
      </c>
    </row>
    <row r="159" spans="1:5" x14ac:dyDescent="0.25">
      <c r="A159" s="2">
        <v>158</v>
      </c>
      <c r="B159" s="3" t="s">
        <v>322</v>
      </c>
      <c r="C159" s="2" t="s">
        <v>323</v>
      </c>
      <c r="D159" s="2" t="s">
        <v>7</v>
      </c>
      <c r="E159" s="3" t="s">
        <v>1344</v>
      </c>
    </row>
    <row r="160" spans="1:5" x14ac:dyDescent="0.25">
      <c r="A160" s="2">
        <v>159</v>
      </c>
      <c r="B160" s="3" t="s">
        <v>324</v>
      </c>
      <c r="C160" s="2" t="s">
        <v>325</v>
      </c>
      <c r="D160" s="2" t="s">
        <v>7</v>
      </c>
      <c r="E160" s="3" t="s">
        <v>1345</v>
      </c>
    </row>
    <row r="161" spans="1:5" x14ac:dyDescent="0.25">
      <c r="A161" s="2">
        <v>160</v>
      </c>
      <c r="B161" s="3" t="s">
        <v>326</v>
      </c>
      <c r="C161" s="2" t="s">
        <v>327</v>
      </c>
      <c r="D161" s="2" t="s">
        <v>7</v>
      </c>
      <c r="E161" s="3" t="s">
        <v>1346</v>
      </c>
    </row>
    <row r="162" spans="1:5" x14ac:dyDescent="0.25">
      <c r="A162" s="2">
        <v>161</v>
      </c>
      <c r="B162" s="3" t="s">
        <v>328</v>
      </c>
      <c r="C162" s="2" t="s">
        <v>329</v>
      </c>
      <c r="D162" s="2" t="s">
        <v>24</v>
      </c>
      <c r="E162" s="3" t="s">
        <v>1347</v>
      </c>
    </row>
    <row r="163" spans="1:5" x14ac:dyDescent="0.25">
      <c r="A163" s="2">
        <v>162</v>
      </c>
      <c r="B163" s="3" t="s">
        <v>330</v>
      </c>
      <c r="C163" s="2" t="s">
        <v>331</v>
      </c>
      <c r="D163" s="2" t="s">
        <v>24</v>
      </c>
      <c r="E163" s="3" t="s">
        <v>1348</v>
      </c>
    </row>
    <row r="164" spans="1:5" x14ac:dyDescent="0.25">
      <c r="A164" s="2">
        <v>163</v>
      </c>
      <c r="B164" s="3" t="s">
        <v>332</v>
      </c>
      <c r="C164" s="2" t="s">
        <v>333</v>
      </c>
      <c r="D164" s="2" t="s">
        <v>24</v>
      </c>
      <c r="E164" s="3" t="s">
        <v>1349</v>
      </c>
    </row>
    <row r="165" spans="1:5" x14ac:dyDescent="0.25">
      <c r="A165" s="2">
        <v>164</v>
      </c>
      <c r="B165" s="3" t="s">
        <v>334</v>
      </c>
      <c r="C165" s="2" t="s">
        <v>335</v>
      </c>
      <c r="D165" s="2" t="s">
        <v>24</v>
      </c>
      <c r="E165" s="3" t="s">
        <v>1350</v>
      </c>
    </row>
    <row r="166" spans="1:5" x14ac:dyDescent="0.25">
      <c r="A166" s="2">
        <v>165</v>
      </c>
      <c r="B166" s="3" t="s">
        <v>336</v>
      </c>
      <c r="C166" s="2" t="s">
        <v>337</v>
      </c>
      <c r="D166" s="2" t="s">
        <v>24</v>
      </c>
      <c r="E166" s="3" t="s">
        <v>1351</v>
      </c>
    </row>
    <row r="167" spans="1:5" x14ac:dyDescent="0.25">
      <c r="A167" s="2">
        <v>166</v>
      </c>
      <c r="B167" s="3" t="s">
        <v>338</v>
      </c>
      <c r="C167" s="2" t="s">
        <v>339</v>
      </c>
      <c r="D167" s="2" t="s">
        <v>7</v>
      </c>
      <c r="E167" s="3" t="s">
        <v>1355</v>
      </c>
    </row>
    <row r="168" spans="1:5" x14ac:dyDescent="0.25">
      <c r="A168" s="2">
        <v>167</v>
      </c>
      <c r="B168" s="3" t="s">
        <v>340</v>
      </c>
      <c r="C168" s="2" t="s">
        <v>341</v>
      </c>
      <c r="D168" s="2" t="s">
        <v>7</v>
      </c>
      <c r="E168" s="3" t="s">
        <v>1306</v>
      </c>
    </row>
    <row r="169" spans="1:5" x14ac:dyDescent="0.25">
      <c r="A169" s="2">
        <v>168</v>
      </c>
      <c r="B169" s="3" t="s">
        <v>342</v>
      </c>
      <c r="C169" s="2" t="s">
        <v>343</v>
      </c>
      <c r="D169" s="2" t="s">
        <v>7</v>
      </c>
      <c r="E169" s="3" t="s">
        <v>1307</v>
      </c>
    </row>
    <row r="170" spans="1:5" x14ac:dyDescent="0.25">
      <c r="A170" s="2">
        <v>169</v>
      </c>
      <c r="B170" s="3" t="s">
        <v>344</v>
      </c>
      <c r="C170" s="2" t="s">
        <v>345</v>
      </c>
      <c r="D170" s="2" t="s">
        <v>7</v>
      </c>
      <c r="E170" s="3" t="s">
        <v>1307</v>
      </c>
    </row>
    <row r="171" spans="1:5" x14ac:dyDescent="0.25">
      <c r="A171" s="2">
        <v>170</v>
      </c>
      <c r="B171" s="3" t="s">
        <v>346</v>
      </c>
      <c r="C171" s="2" t="s">
        <v>347</v>
      </c>
      <c r="D171" s="2" t="s">
        <v>7</v>
      </c>
      <c r="E171" s="3" t="s">
        <v>1356</v>
      </c>
    </row>
    <row r="172" spans="1:5" x14ac:dyDescent="0.25">
      <c r="A172" s="2">
        <v>171</v>
      </c>
      <c r="B172" s="3" t="s">
        <v>348</v>
      </c>
      <c r="C172" s="2" t="s">
        <v>349</v>
      </c>
      <c r="D172" s="2" t="s">
        <v>7</v>
      </c>
      <c r="E172" s="3" t="s">
        <v>1307</v>
      </c>
    </row>
    <row r="173" spans="1:5" x14ac:dyDescent="0.25">
      <c r="A173" s="2">
        <v>172</v>
      </c>
      <c r="B173" s="3" t="s">
        <v>350</v>
      </c>
      <c r="C173" s="2" t="s">
        <v>351</v>
      </c>
      <c r="D173" s="2" t="s">
        <v>7</v>
      </c>
      <c r="E173" s="3" t="s">
        <v>1357</v>
      </c>
    </row>
    <row r="174" spans="1:5" x14ac:dyDescent="0.25">
      <c r="A174" s="2">
        <v>173</v>
      </c>
      <c r="B174" s="3" t="s">
        <v>352</v>
      </c>
      <c r="C174" s="2" t="s">
        <v>353</v>
      </c>
      <c r="D174" s="2" t="s">
        <v>7</v>
      </c>
      <c r="E174" s="3" t="s">
        <v>1358</v>
      </c>
    </row>
    <row r="175" spans="1:5" x14ac:dyDescent="0.25">
      <c r="A175" s="2">
        <v>174</v>
      </c>
      <c r="B175" s="3" t="s">
        <v>354</v>
      </c>
      <c r="C175" s="2" t="s">
        <v>355</v>
      </c>
      <c r="D175" s="2" t="s">
        <v>24</v>
      </c>
      <c r="E175" s="3" t="s">
        <v>1352</v>
      </c>
    </row>
    <row r="176" spans="1:5" x14ac:dyDescent="0.25">
      <c r="A176" s="2">
        <v>175</v>
      </c>
      <c r="B176" s="3" t="s">
        <v>356</v>
      </c>
      <c r="C176" s="2" t="s">
        <v>357</v>
      </c>
      <c r="D176" s="2" t="s">
        <v>24</v>
      </c>
      <c r="E176" s="3" t="s">
        <v>1353</v>
      </c>
    </row>
    <row r="177" spans="1:5" x14ac:dyDescent="0.25">
      <c r="A177" s="2">
        <v>176</v>
      </c>
      <c r="B177" s="3" t="s">
        <v>358</v>
      </c>
      <c r="C177" s="2" t="s">
        <v>359</v>
      </c>
      <c r="D177" s="2" t="s">
        <v>24</v>
      </c>
      <c r="E177" s="3" t="s">
        <v>1308</v>
      </c>
    </row>
    <row r="178" spans="1:5" x14ac:dyDescent="0.25">
      <c r="A178" s="2">
        <v>177</v>
      </c>
      <c r="B178" s="3" t="s">
        <v>360</v>
      </c>
      <c r="C178" s="2" t="s">
        <v>361</v>
      </c>
      <c r="D178" s="2" t="s">
        <v>24</v>
      </c>
      <c r="E178" s="3" t="s">
        <v>1309</v>
      </c>
    </row>
    <row r="179" spans="1:5" x14ac:dyDescent="0.25">
      <c r="A179" s="2">
        <v>178</v>
      </c>
      <c r="B179" s="3" t="s">
        <v>362</v>
      </c>
      <c r="C179" s="2" t="s">
        <v>363</v>
      </c>
      <c r="D179" s="2" t="s">
        <v>24</v>
      </c>
      <c r="E179" s="3" t="s">
        <v>1310</v>
      </c>
    </row>
    <row r="180" spans="1:5" x14ac:dyDescent="0.25">
      <c r="A180" s="2">
        <v>179</v>
      </c>
      <c r="B180" s="3" t="s">
        <v>364</v>
      </c>
      <c r="C180" s="2" t="s">
        <v>365</v>
      </c>
      <c r="D180" s="2" t="s">
        <v>35</v>
      </c>
      <c r="E180" s="3" t="s">
        <v>1315</v>
      </c>
    </row>
    <row r="181" spans="1:5" x14ac:dyDescent="0.25">
      <c r="A181" s="2">
        <v>180</v>
      </c>
      <c r="B181" s="3" t="s">
        <v>366</v>
      </c>
      <c r="C181" s="2" t="s">
        <v>367</v>
      </c>
      <c r="D181" s="2" t="s">
        <v>35</v>
      </c>
      <c r="E181" s="3" t="s">
        <v>1316</v>
      </c>
    </row>
    <row r="182" spans="1:5" x14ac:dyDescent="0.25">
      <c r="A182" s="2">
        <v>181</v>
      </c>
      <c r="B182" s="3" t="s">
        <v>368</v>
      </c>
      <c r="C182" s="2" t="s">
        <v>369</v>
      </c>
      <c r="D182" s="2" t="s">
        <v>35</v>
      </c>
      <c r="E182" s="3" t="s">
        <v>1317</v>
      </c>
    </row>
    <row r="183" spans="1:5" x14ac:dyDescent="0.25">
      <c r="A183" s="2">
        <v>182</v>
      </c>
      <c r="B183" s="3" t="s">
        <v>370</v>
      </c>
      <c r="C183" s="2" t="s">
        <v>371</v>
      </c>
      <c r="D183" s="2" t="s">
        <v>35</v>
      </c>
      <c r="E183" s="3" t="s">
        <v>1318</v>
      </c>
    </row>
    <row r="184" spans="1:5" x14ac:dyDescent="0.25">
      <c r="A184" s="2">
        <v>183</v>
      </c>
      <c r="B184" s="3" t="s">
        <v>372</v>
      </c>
      <c r="C184" s="2" t="s">
        <v>373</v>
      </c>
      <c r="D184" s="2" t="s">
        <v>35</v>
      </c>
      <c r="E184" s="3" t="s">
        <v>1319</v>
      </c>
    </row>
    <row r="185" spans="1:5" x14ac:dyDescent="0.25">
      <c r="A185" s="2">
        <v>184</v>
      </c>
      <c r="B185" s="3" t="s">
        <v>374</v>
      </c>
      <c r="C185" s="2" t="s">
        <v>375</v>
      </c>
      <c r="D185" s="2" t="s">
        <v>35</v>
      </c>
      <c r="E185" s="3" t="s">
        <v>1320</v>
      </c>
    </row>
    <row r="186" spans="1:5" x14ac:dyDescent="0.25">
      <c r="A186" s="2">
        <v>185</v>
      </c>
      <c r="B186" s="3" t="s">
        <v>376</v>
      </c>
      <c r="C186" s="2" t="s">
        <v>377</v>
      </c>
      <c r="D186" s="2" t="s">
        <v>35</v>
      </c>
      <c r="E186" s="3" t="s">
        <v>1321</v>
      </c>
    </row>
    <row r="187" spans="1:5" x14ac:dyDescent="0.25">
      <c r="A187" s="2">
        <v>186</v>
      </c>
      <c r="B187" s="3" t="s">
        <v>378</v>
      </c>
      <c r="C187" s="2" t="s">
        <v>379</v>
      </c>
      <c r="D187" s="2" t="s">
        <v>35</v>
      </c>
      <c r="E187" s="3" t="s">
        <v>1322</v>
      </c>
    </row>
    <row r="188" spans="1:5" x14ac:dyDescent="0.25">
      <c r="A188" s="2">
        <v>187</v>
      </c>
      <c r="B188" s="3" t="s">
        <v>380</v>
      </c>
      <c r="C188" s="2" t="s">
        <v>381</v>
      </c>
      <c r="D188" s="2" t="s">
        <v>35</v>
      </c>
      <c r="E188" s="3" t="s">
        <v>1312</v>
      </c>
    </row>
    <row r="189" spans="1:5" x14ac:dyDescent="0.25">
      <c r="A189" s="2">
        <v>188</v>
      </c>
      <c r="B189" s="3" t="s">
        <v>382</v>
      </c>
      <c r="C189" s="2" t="s">
        <v>383</v>
      </c>
      <c r="D189" s="2" t="s">
        <v>35</v>
      </c>
      <c r="E189" s="3" t="s">
        <v>1313</v>
      </c>
    </row>
    <row r="190" spans="1:5" x14ac:dyDescent="0.25">
      <c r="A190" s="2">
        <v>189</v>
      </c>
      <c r="B190" s="3" t="s">
        <v>384</v>
      </c>
      <c r="C190" s="2" t="s">
        <v>385</v>
      </c>
      <c r="D190" s="2" t="s">
        <v>35</v>
      </c>
      <c r="E190" s="3" t="s">
        <v>1314</v>
      </c>
    </row>
    <row r="191" spans="1:5" x14ac:dyDescent="0.25">
      <c r="A191" s="2">
        <v>190</v>
      </c>
      <c r="B191" s="3" t="s">
        <v>386</v>
      </c>
      <c r="C191" s="2" t="s">
        <v>387</v>
      </c>
      <c r="D191" s="2" t="s">
        <v>35</v>
      </c>
      <c r="E191" s="3" t="s">
        <v>1311</v>
      </c>
    </row>
    <row r="192" spans="1:5" x14ac:dyDescent="0.25">
      <c r="A192" s="2">
        <v>191</v>
      </c>
      <c r="B192" s="3" t="s">
        <v>388</v>
      </c>
      <c r="C192" s="2" t="s">
        <v>389</v>
      </c>
      <c r="D192" s="2" t="s">
        <v>35</v>
      </c>
      <c r="E192" s="3" t="s">
        <v>1323</v>
      </c>
    </row>
    <row r="193" spans="1:5" x14ac:dyDescent="0.25">
      <c r="A193" s="2">
        <v>192</v>
      </c>
      <c r="B193" s="3" t="s">
        <v>390</v>
      </c>
      <c r="C193" s="2" t="s">
        <v>391</v>
      </c>
      <c r="D193" s="2" t="s">
        <v>35</v>
      </c>
      <c r="E193" s="3" t="s">
        <v>1324</v>
      </c>
    </row>
    <row r="194" spans="1:5" x14ac:dyDescent="0.25">
      <c r="A194" s="2">
        <v>193</v>
      </c>
      <c r="B194" s="3" t="s">
        <v>392</v>
      </c>
      <c r="C194" s="2" t="s">
        <v>393</v>
      </c>
      <c r="D194" s="2" t="s">
        <v>35</v>
      </c>
      <c r="E194" s="3" t="s">
        <v>1325</v>
      </c>
    </row>
    <row r="195" spans="1:5" x14ac:dyDescent="0.25">
      <c r="A195" s="2">
        <v>194</v>
      </c>
      <c r="B195" s="3" t="s">
        <v>394</v>
      </c>
      <c r="C195" s="2" t="s">
        <v>395</v>
      </c>
      <c r="D195" s="2" t="s">
        <v>35</v>
      </c>
      <c r="E195" s="3" t="s">
        <v>1326</v>
      </c>
    </row>
    <row r="196" spans="1:5" x14ac:dyDescent="0.25">
      <c r="A196" s="2">
        <v>195</v>
      </c>
      <c r="B196" s="3" t="s">
        <v>396</v>
      </c>
      <c r="C196" s="2" t="s">
        <v>397</v>
      </c>
      <c r="D196" s="2" t="s">
        <v>35</v>
      </c>
      <c r="E196" s="3" t="s">
        <v>1327</v>
      </c>
    </row>
    <row r="197" spans="1:5" x14ac:dyDescent="0.25">
      <c r="A197" s="2">
        <v>196</v>
      </c>
      <c r="B197" s="3" t="s">
        <v>398</v>
      </c>
      <c r="C197" s="2" t="s">
        <v>399</v>
      </c>
      <c r="D197" s="2" t="s">
        <v>35</v>
      </c>
      <c r="E197" s="3" t="s">
        <v>1328</v>
      </c>
    </row>
    <row r="198" spans="1:5" x14ac:dyDescent="0.25">
      <c r="A198" s="2">
        <v>197</v>
      </c>
      <c r="B198" s="3" t="s">
        <v>400</v>
      </c>
      <c r="C198" s="2" t="s">
        <v>401</v>
      </c>
      <c r="D198" s="2" t="s">
        <v>35</v>
      </c>
      <c r="E198" s="3" t="s">
        <v>1329</v>
      </c>
    </row>
    <row r="199" spans="1:5" x14ac:dyDescent="0.25">
      <c r="A199" s="2">
        <v>198</v>
      </c>
      <c r="B199" s="3" t="s">
        <v>402</v>
      </c>
      <c r="C199" s="2" t="s">
        <v>403</v>
      </c>
      <c r="D199" s="2" t="s">
        <v>35</v>
      </c>
      <c r="E199" s="3" t="s">
        <v>1330</v>
      </c>
    </row>
    <row r="200" spans="1:5" x14ac:dyDescent="0.25">
      <c r="A200" s="2">
        <v>199</v>
      </c>
      <c r="B200" s="3" t="s">
        <v>404</v>
      </c>
      <c r="C200" s="2" t="s">
        <v>405</v>
      </c>
      <c r="D200" s="2" t="s">
        <v>35</v>
      </c>
      <c r="E200" s="3" t="s">
        <v>1331</v>
      </c>
    </row>
    <row r="201" spans="1:5" x14ac:dyDescent="0.25">
      <c r="A201" s="2">
        <v>200</v>
      </c>
      <c r="B201" s="3" t="s">
        <v>406</v>
      </c>
      <c r="C201" s="2" t="s">
        <v>407</v>
      </c>
      <c r="D201" s="2" t="s">
        <v>35</v>
      </c>
      <c r="E201" s="3" t="s">
        <v>1332</v>
      </c>
    </row>
    <row r="202" spans="1:5" x14ac:dyDescent="0.25">
      <c r="A202" s="2">
        <v>201</v>
      </c>
      <c r="B202" s="3" t="s">
        <v>408</v>
      </c>
      <c r="C202" s="2" t="s">
        <v>409</v>
      </c>
      <c r="D202" s="2" t="s">
        <v>35</v>
      </c>
      <c r="E202" s="3" t="s">
        <v>1333</v>
      </c>
    </row>
    <row r="203" spans="1:5" x14ac:dyDescent="0.25">
      <c r="A203" s="2">
        <v>202</v>
      </c>
      <c r="B203" s="3" t="s">
        <v>410</v>
      </c>
      <c r="C203" s="2" t="s">
        <v>411</v>
      </c>
      <c r="D203" s="2" t="s">
        <v>35</v>
      </c>
      <c r="E203" s="3" t="s">
        <v>1334</v>
      </c>
    </row>
    <row r="204" spans="1:5" x14ac:dyDescent="0.25">
      <c r="A204" s="2">
        <v>203</v>
      </c>
      <c r="B204" s="3" t="s">
        <v>412</v>
      </c>
      <c r="C204" s="2" t="s">
        <v>413</v>
      </c>
      <c r="D204" s="2" t="s">
        <v>35</v>
      </c>
      <c r="E204" s="3" t="s">
        <v>1335</v>
      </c>
    </row>
    <row r="205" spans="1:5" x14ac:dyDescent="0.25">
      <c r="A205" s="2">
        <v>204</v>
      </c>
      <c r="B205" s="3" t="s">
        <v>414</v>
      </c>
      <c r="C205" s="2" t="s">
        <v>415</v>
      </c>
      <c r="D205" s="2" t="s">
        <v>35</v>
      </c>
      <c r="E205" s="3" t="s">
        <v>1336</v>
      </c>
    </row>
    <row r="206" spans="1:5" x14ac:dyDescent="0.25">
      <c r="A206" s="2">
        <v>205</v>
      </c>
      <c r="B206" s="3" t="s">
        <v>416</v>
      </c>
      <c r="C206" s="2" t="s">
        <v>417</v>
      </c>
      <c r="D206" s="2" t="s">
        <v>35</v>
      </c>
      <c r="E206" s="3" t="s">
        <v>1337</v>
      </c>
    </row>
    <row r="207" spans="1:5" x14ac:dyDescent="0.25">
      <c r="A207" s="2">
        <v>206</v>
      </c>
      <c r="B207" s="3" t="s">
        <v>418</v>
      </c>
      <c r="C207" s="2" t="s">
        <v>419</v>
      </c>
      <c r="D207" s="2" t="s">
        <v>35</v>
      </c>
      <c r="E207" s="3" t="s">
        <v>1338</v>
      </c>
    </row>
    <row r="208" spans="1:5" x14ac:dyDescent="0.25">
      <c r="A208" s="2">
        <v>207</v>
      </c>
      <c r="B208" s="3" t="s">
        <v>420</v>
      </c>
      <c r="C208" s="2" t="s">
        <v>421</v>
      </c>
      <c r="D208" s="2" t="s">
        <v>35</v>
      </c>
      <c r="E208" s="3" t="s">
        <v>1339</v>
      </c>
    </row>
    <row r="209" spans="1:5" x14ac:dyDescent="0.25">
      <c r="A209" s="2">
        <v>208</v>
      </c>
      <c r="B209" s="3" t="s">
        <v>422</v>
      </c>
      <c r="C209" s="2" t="s">
        <v>423</v>
      </c>
      <c r="D209" s="2" t="s">
        <v>35</v>
      </c>
      <c r="E209" s="3" t="s">
        <v>1340</v>
      </c>
    </row>
    <row r="210" spans="1:5" x14ac:dyDescent="0.25">
      <c r="A210" s="2">
        <v>209</v>
      </c>
      <c r="B210" s="3" t="s">
        <v>424</v>
      </c>
      <c r="C210" s="2" t="s">
        <v>425</v>
      </c>
      <c r="D210" s="2" t="s">
        <v>35</v>
      </c>
      <c r="E210" s="3" t="s">
        <v>1341</v>
      </c>
    </row>
    <row r="211" spans="1:5" x14ac:dyDescent="0.25">
      <c r="A211" s="2">
        <v>210</v>
      </c>
      <c r="B211" s="3" t="s">
        <v>426</v>
      </c>
      <c r="C211" s="2" t="s">
        <v>427</v>
      </c>
      <c r="D211" s="2" t="s">
        <v>35</v>
      </c>
      <c r="E211" s="3" t="s">
        <v>1342</v>
      </c>
    </row>
    <row r="212" spans="1:5" x14ac:dyDescent="0.25">
      <c r="A212" s="2">
        <v>211</v>
      </c>
      <c r="B212" s="3" t="s">
        <v>428</v>
      </c>
      <c r="C212" s="2" t="s">
        <v>429</v>
      </c>
      <c r="D212" s="2" t="s">
        <v>7</v>
      </c>
      <c r="E212" s="3" t="s">
        <v>1343</v>
      </c>
    </row>
    <row r="213" spans="1:5" x14ac:dyDescent="0.25">
      <c r="A213" s="2">
        <v>212</v>
      </c>
      <c r="B213" s="3" t="s">
        <v>430</v>
      </c>
      <c r="C213" s="2" t="s">
        <v>431</v>
      </c>
      <c r="D213" s="2" t="s">
        <v>7</v>
      </c>
      <c r="E213" s="3" t="s">
        <v>1354</v>
      </c>
    </row>
    <row r="214" spans="1:5" x14ac:dyDescent="0.25">
      <c r="A214" s="2">
        <v>213</v>
      </c>
      <c r="B214" s="3" t="s">
        <v>432</v>
      </c>
      <c r="C214" s="2" t="s">
        <v>433</v>
      </c>
      <c r="D214" s="2" t="s">
        <v>7</v>
      </c>
      <c r="E214" s="3" t="s">
        <v>1344</v>
      </c>
    </row>
    <row r="215" spans="1:5" x14ac:dyDescent="0.25">
      <c r="A215" s="2">
        <v>214</v>
      </c>
      <c r="B215" s="3" t="s">
        <v>434</v>
      </c>
      <c r="C215" s="2" t="s">
        <v>435</v>
      </c>
      <c r="D215" s="2" t="s">
        <v>7</v>
      </c>
      <c r="E215" s="3" t="s">
        <v>1345</v>
      </c>
    </row>
    <row r="216" spans="1:5" x14ac:dyDescent="0.25">
      <c r="A216" s="2">
        <v>215</v>
      </c>
      <c r="B216" s="3" t="s">
        <v>436</v>
      </c>
      <c r="C216" s="2" t="s">
        <v>437</v>
      </c>
      <c r="D216" s="2" t="s">
        <v>7</v>
      </c>
      <c r="E216" s="3" t="s">
        <v>1346</v>
      </c>
    </row>
    <row r="217" spans="1:5" x14ac:dyDescent="0.25">
      <c r="A217" s="2">
        <v>216</v>
      </c>
      <c r="B217" s="3" t="s">
        <v>438</v>
      </c>
      <c r="C217" s="2" t="s">
        <v>439</v>
      </c>
      <c r="D217" s="2" t="s">
        <v>24</v>
      </c>
      <c r="E217" s="3" t="s">
        <v>1347</v>
      </c>
    </row>
    <row r="218" spans="1:5" x14ac:dyDescent="0.25">
      <c r="A218" s="2">
        <v>217</v>
      </c>
      <c r="B218" s="3" t="s">
        <v>440</v>
      </c>
      <c r="C218" s="2" t="s">
        <v>441</v>
      </c>
      <c r="D218" s="2" t="s">
        <v>24</v>
      </c>
      <c r="E218" s="3" t="s">
        <v>1348</v>
      </c>
    </row>
    <row r="219" spans="1:5" x14ac:dyDescent="0.25">
      <c r="A219" s="2">
        <v>218</v>
      </c>
      <c r="B219" s="3" t="s">
        <v>442</v>
      </c>
      <c r="C219" s="2" t="s">
        <v>443</v>
      </c>
      <c r="D219" s="2" t="s">
        <v>24</v>
      </c>
      <c r="E219" s="3" t="s">
        <v>1349</v>
      </c>
    </row>
    <row r="220" spans="1:5" x14ac:dyDescent="0.25">
      <c r="A220" s="2">
        <v>219</v>
      </c>
      <c r="B220" s="3" t="s">
        <v>444</v>
      </c>
      <c r="C220" s="2" t="s">
        <v>445</v>
      </c>
      <c r="D220" s="2" t="s">
        <v>24</v>
      </c>
      <c r="E220" s="3" t="s">
        <v>1350</v>
      </c>
    </row>
    <row r="221" spans="1:5" x14ac:dyDescent="0.25">
      <c r="A221" s="2">
        <v>220</v>
      </c>
      <c r="B221" s="3" t="s">
        <v>446</v>
      </c>
      <c r="C221" s="2" t="s">
        <v>447</v>
      </c>
      <c r="D221" s="2" t="s">
        <v>24</v>
      </c>
      <c r="E221" s="3" t="s">
        <v>1351</v>
      </c>
    </row>
    <row r="222" spans="1:5" x14ac:dyDescent="0.25">
      <c r="A222" s="2">
        <v>221</v>
      </c>
      <c r="B222" s="3" t="s">
        <v>448</v>
      </c>
      <c r="C222" s="2" t="s">
        <v>449</v>
      </c>
      <c r="D222" s="2" t="s">
        <v>7</v>
      </c>
      <c r="E222" s="3" t="s">
        <v>1355</v>
      </c>
    </row>
    <row r="223" spans="1:5" x14ac:dyDescent="0.25">
      <c r="A223" s="2">
        <v>222</v>
      </c>
      <c r="B223" s="3" t="s">
        <v>450</v>
      </c>
      <c r="C223" s="2" t="s">
        <v>451</v>
      </c>
      <c r="D223" s="2" t="s">
        <v>7</v>
      </c>
      <c r="E223" s="3" t="s">
        <v>1306</v>
      </c>
    </row>
    <row r="224" spans="1:5" x14ac:dyDescent="0.25">
      <c r="A224" s="2">
        <v>223</v>
      </c>
      <c r="B224" s="3" t="s">
        <v>452</v>
      </c>
      <c r="C224" s="2" t="s">
        <v>453</v>
      </c>
      <c r="D224" s="2" t="s">
        <v>7</v>
      </c>
      <c r="E224" s="3" t="s">
        <v>1307</v>
      </c>
    </row>
    <row r="225" spans="1:5" x14ac:dyDescent="0.25">
      <c r="A225" s="2">
        <v>224</v>
      </c>
      <c r="B225" s="3" t="s">
        <v>454</v>
      </c>
      <c r="C225" s="2" t="s">
        <v>455</v>
      </c>
      <c r="D225" s="2" t="s">
        <v>7</v>
      </c>
      <c r="E225" s="3" t="s">
        <v>1307</v>
      </c>
    </row>
    <row r="226" spans="1:5" x14ac:dyDescent="0.25">
      <c r="A226" s="2">
        <v>225</v>
      </c>
      <c r="B226" s="3" t="s">
        <v>456</v>
      </c>
      <c r="C226" s="2" t="s">
        <v>457</v>
      </c>
      <c r="D226" s="2" t="s">
        <v>7</v>
      </c>
      <c r="E226" s="3" t="s">
        <v>1356</v>
      </c>
    </row>
    <row r="227" spans="1:5" x14ac:dyDescent="0.25">
      <c r="A227" s="2">
        <v>226</v>
      </c>
      <c r="B227" s="3" t="s">
        <v>458</v>
      </c>
      <c r="C227" s="2" t="s">
        <v>459</v>
      </c>
      <c r="D227" s="2" t="s">
        <v>7</v>
      </c>
      <c r="E227" s="3" t="s">
        <v>1307</v>
      </c>
    </row>
    <row r="228" spans="1:5" x14ac:dyDescent="0.25">
      <c r="A228" s="2">
        <v>227</v>
      </c>
      <c r="B228" s="3" t="s">
        <v>460</v>
      </c>
      <c r="C228" s="2" t="s">
        <v>461</v>
      </c>
      <c r="D228" s="2" t="s">
        <v>7</v>
      </c>
      <c r="E228" s="3" t="s">
        <v>1357</v>
      </c>
    </row>
    <row r="229" spans="1:5" x14ac:dyDescent="0.25">
      <c r="A229" s="2">
        <v>228</v>
      </c>
      <c r="B229" s="3" t="s">
        <v>462</v>
      </c>
      <c r="C229" s="2" t="s">
        <v>463</v>
      </c>
      <c r="D229" s="2" t="s">
        <v>7</v>
      </c>
      <c r="E229" s="3" t="s">
        <v>1358</v>
      </c>
    </row>
    <row r="230" spans="1:5" x14ac:dyDescent="0.25">
      <c r="A230" s="2">
        <v>229</v>
      </c>
      <c r="B230" s="3" t="s">
        <v>464</v>
      </c>
      <c r="C230" s="2" t="s">
        <v>465</v>
      </c>
      <c r="D230" s="2" t="s">
        <v>24</v>
      </c>
      <c r="E230" s="3" t="s">
        <v>1352</v>
      </c>
    </row>
    <row r="231" spans="1:5" x14ac:dyDescent="0.25">
      <c r="A231" s="2">
        <v>230</v>
      </c>
      <c r="B231" s="3" t="s">
        <v>466</v>
      </c>
      <c r="C231" s="2" t="s">
        <v>467</v>
      </c>
      <c r="D231" s="2" t="s">
        <v>24</v>
      </c>
      <c r="E231" s="3" t="s">
        <v>1353</v>
      </c>
    </row>
    <row r="232" spans="1:5" x14ac:dyDescent="0.25">
      <c r="A232" s="2">
        <v>231</v>
      </c>
      <c r="B232" s="3" t="s">
        <v>468</v>
      </c>
      <c r="C232" s="2" t="s">
        <v>469</v>
      </c>
      <c r="D232" s="2" t="s">
        <v>24</v>
      </c>
      <c r="E232" s="3" t="s">
        <v>1308</v>
      </c>
    </row>
    <row r="233" spans="1:5" x14ac:dyDescent="0.25">
      <c r="A233" s="2">
        <v>232</v>
      </c>
      <c r="B233" s="3" t="s">
        <v>470</v>
      </c>
      <c r="C233" s="2" t="s">
        <v>471</v>
      </c>
      <c r="D233" s="2" t="s">
        <v>24</v>
      </c>
      <c r="E233" s="3" t="s">
        <v>1309</v>
      </c>
    </row>
    <row r="234" spans="1:5" x14ac:dyDescent="0.25">
      <c r="A234" s="2">
        <v>233</v>
      </c>
      <c r="B234" s="3" t="s">
        <v>472</v>
      </c>
      <c r="C234" s="2" t="s">
        <v>473</v>
      </c>
      <c r="D234" s="2" t="s">
        <v>24</v>
      </c>
      <c r="E234" s="3" t="s">
        <v>1310</v>
      </c>
    </row>
    <row r="235" spans="1:5" x14ac:dyDescent="0.25">
      <c r="A235" s="2">
        <v>234</v>
      </c>
      <c r="B235" s="3" t="s">
        <v>474</v>
      </c>
      <c r="C235" s="2" t="s">
        <v>475</v>
      </c>
      <c r="D235" s="2" t="s">
        <v>35</v>
      </c>
      <c r="E235" s="3" t="s">
        <v>1315</v>
      </c>
    </row>
    <row r="236" spans="1:5" x14ac:dyDescent="0.25">
      <c r="A236" s="2">
        <v>235</v>
      </c>
      <c r="B236" s="3" t="s">
        <v>476</v>
      </c>
      <c r="C236" s="2" t="s">
        <v>477</v>
      </c>
      <c r="D236" s="2" t="s">
        <v>35</v>
      </c>
      <c r="E236" s="3" t="s">
        <v>1316</v>
      </c>
    </row>
    <row r="237" spans="1:5" x14ac:dyDescent="0.25">
      <c r="A237" s="2">
        <v>236</v>
      </c>
      <c r="B237" s="3" t="s">
        <v>478</v>
      </c>
      <c r="C237" s="2" t="s">
        <v>479</v>
      </c>
      <c r="D237" s="2" t="s">
        <v>35</v>
      </c>
      <c r="E237" s="3" t="s">
        <v>1317</v>
      </c>
    </row>
    <row r="238" spans="1:5" x14ac:dyDescent="0.25">
      <c r="A238" s="2">
        <v>237</v>
      </c>
      <c r="B238" s="3" t="s">
        <v>480</v>
      </c>
      <c r="C238" s="2" t="s">
        <v>481</v>
      </c>
      <c r="D238" s="2" t="s">
        <v>35</v>
      </c>
      <c r="E238" s="3" t="s">
        <v>1318</v>
      </c>
    </row>
    <row r="239" spans="1:5" x14ac:dyDescent="0.25">
      <c r="A239" s="2">
        <v>238</v>
      </c>
      <c r="B239" s="3" t="s">
        <v>482</v>
      </c>
      <c r="C239" s="2" t="s">
        <v>483</v>
      </c>
      <c r="D239" s="2" t="s">
        <v>35</v>
      </c>
      <c r="E239" s="3" t="s">
        <v>1319</v>
      </c>
    </row>
    <row r="240" spans="1:5" x14ac:dyDescent="0.25">
      <c r="A240" s="2">
        <v>239</v>
      </c>
      <c r="B240" s="3" t="s">
        <v>484</v>
      </c>
      <c r="C240" s="2" t="s">
        <v>485</v>
      </c>
      <c r="D240" s="2" t="s">
        <v>35</v>
      </c>
      <c r="E240" s="3" t="s">
        <v>1320</v>
      </c>
    </row>
    <row r="241" spans="1:5" x14ac:dyDescent="0.25">
      <c r="A241" s="2">
        <v>240</v>
      </c>
      <c r="B241" s="3" t="s">
        <v>486</v>
      </c>
      <c r="C241" s="2" t="s">
        <v>487</v>
      </c>
      <c r="D241" s="2" t="s">
        <v>35</v>
      </c>
      <c r="E241" s="3" t="s">
        <v>1321</v>
      </c>
    </row>
    <row r="242" spans="1:5" x14ac:dyDescent="0.25">
      <c r="A242" s="2">
        <v>241</v>
      </c>
      <c r="B242" s="3" t="s">
        <v>488</v>
      </c>
      <c r="C242" s="2" t="s">
        <v>489</v>
      </c>
      <c r="D242" s="2" t="s">
        <v>35</v>
      </c>
      <c r="E242" s="3" t="s">
        <v>1322</v>
      </c>
    </row>
    <row r="243" spans="1:5" x14ac:dyDescent="0.25">
      <c r="A243" s="2">
        <v>242</v>
      </c>
      <c r="B243" s="3" t="s">
        <v>490</v>
      </c>
      <c r="C243" s="2" t="s">
        <v>491</v>
      </c>
      <c r="D243" s="2" t="s">
        <v>35</v>
      </c>
      <c r="E243" s="3" t="s">
        <v>1312</v>
      </c>
    </row>
    <row r="244" spans="1:5" x14ac:dyDescent="0.25">
      <c r="A244" s="2">
        <v>243</v>
      </c>
      <c r="B244" s="3" t="s">
        <v>492</v>
      </c>
      <c r="C244" s="2" t="s">
        <v>493</v>
      </c>
      <c r="D244" s="2" t="s">
        <v>35</v>
      </c>
      <c r="E244" s="3" t="s">
        <v>1313</v>
      </c>
    </row>
    <row r="245" spans="1:5" x14ac:dyDescent="0.25">
      <c r="A245" s="2">
        <v>244</v>
      </c>
      <c r="B245" s="3" t="s">
        <v>494</v>
      </c>
      <c r="C245" s="2" t="s">
        <v>495</v>
      </c>
      <c r="D245" s="2" t="s">
        <v>35</v>
      </c>
      <c r="E245" s="3" t="s">
        <v>1314</v>
      </c>
    </row>
    <row r="246" spans="1:5" x14ac:dyDescent="0.25">
      <c r="A246" s="2">
        <v>245</v>
      </c>
      <c r="B246" s="3" t="s">
        <v>496</v>
      </c>
      <c r="C246" s="2" t="s">
        <v>497</v>
      </c>
      <c r="D246" s="2" t="s">
        <v>35</v>
      </c>
      <c r="E246" s="3" t="s">
        <v>1311</v>
      </c>
    </row>
    <row r="247" spans="1:5" x14ac:dyDescent="0.25">
      <c r="A247" s="2">
        <v>246</v>
      </c>
      <c r="B247" s="3" t="s">
        <v>498</v>
      </c>
      <c r="C247" s="2" t="s">
        <v>499</v>
      </c>
      <c r="D247" s="2" t="s">
        <v>35</v>
      </c>
      <c r="E247" s="3" t="s">
        <v>1323</v>
      </c>
    </row>
    <row r="248" spans="1:5" x14ac:dyDescent="0.25">
      <c r="A248" s="2">
        <v>247</v>
      </c>
      <c r="B248" s="3" t="s">
        <v>500</v>
      </c>
      <c r="C248" s="2" t="s">
        <v>501</v>
      </c>
      <c r="D248" s="2" t="s">
        <v>35</v>
      </c>
      <c r="E248" s="3" t="s">
        <v>1324</v>
      </c>
    </row>
    <row r="249" spans="1:5" x14ac:dyDescent="0.25">
      <c r="A249" s="2">
        <v>248</v>
      </c>
      <c r="B249" s="3" t="s">
        <v>502</v>
      </c>
      <c r="C249" s="2" t="s">
        <v>503</v>
      </c>
      <c r="D249" s="2" t="s">
        <v>35</v>
      </c>
      <c r="E249" s="3" t="s">
        <v>1325</v>
      </c>
    </row>
    <row r="250" spans="1:5" x14ac:dyDescent="0.25">
      <c r="A250" s="2">
        <v>249</v>
      </c>
      <c r="B250" s="3" t="s">
        <v>504</v>
      </c>
      <c r="C250" s="2" t="s">
        <v>505</v>
      </c>
      <c r="D250" s="2" t="s">
        <v>35</v>
      </c>
      <c r="E250" s="3" t="s">
        <v>1326</v>
      </c>
    </row>
    <row r="251" spans="1:5" x14ac:dyDescent="0.25">
      <c r="A251" s="2">
        <v>250</v>
      </c>
      <c r="B251" s="3" t="s">
        <v>506</v>
      </c>
      <c r="C251" s="2" t="s">
        <v>507</v>
      </c>
      <c r="D251" s="2" t="s">
        <v>35</v>
      </c>
      <c r="E251" s="3" t="s">
        <v>1327</v>
      </c>
    </row>
    <row r="252" spans="1:5" x14ac:dyDescent="0.25">
      <c r="A252" s="2">
        <v>251</v>
      </c>
      <c r="B252" s="3" t="s">
        <v>508</v>
      </c>
      <c r="C252" s="2" t="s">
        <v>509</v>
      </c>
      <c r="D252" s="2" t="s">
        <v>35</v>
      </c>
      <c r="E252" s="3" t="s">
        <v>1328</v>
      </c>
    </row>
    <row r="253" spans="1:5" x14ac:dyDescent="0.25">
      <c r="A253" s="2">
        <v>252</v>
      </c>
      <c r="B253" s="3" t="s">
        <v>510</v>
      </c>
      <c r="C253" s="2" t="s">
        <v>511</v>
      </c>
      <c r="D253" s="2" t="s">
        <v>35</v>
      </c>
      <c r="E253" s="3" t="s">
        <v>1329</v>
      </c>
    </row>
    <row r="254" spans="1:5" x14ac:dyDescent="0.25">
      <c r="A254" s="2">
        <v>253</v>
      </c>
      <c r="B254" s="3" t="s">
        <v>512</v>
      </c>
      <c r="C254" s="2" t="s">
        <v>513</v>
      </c>
      <c r="D254" s="2" t="s">
        <v>35</v>
      </c>
      <c r="E254" s="3" t="s">
        <v>1330</v>
      </c>
    </row>
    <row r="255" spans="1:5" x14ac:dyDescent="0.25">
      <c r="A255" s="2">
        <v>254</v>
      </c>
      <c r="B255" s="3" t="s">
        <v>514</v>
      </c>
      <c r="C255" s="2" t="s">
        <v>515</v>
      </c>
      <c r="D255" s="2" t="s">
        <v>35</v>
      </c>
      <c r="E255" s="3" t="s">
        <v>1331</v>
      </c>
    </row>
    <row r="256" spans="1:5" x14ac:dyDescent="0.25">
      <c r="A256" s="2">
        <v>255</v>
      </c>
      <c r="B256" s="3" t="s">
        <v>516</v>
      </c>
      <c r="C256" s="2" t="s">
        <v>517</v>
      </c>
      <c r="D256" s="2" t="s">
        <v>35</v>
      </c>
      <c r="E256" s="3" t="s">
        <v>1332</v>
      </c>
    </row>
    <row r="257" spans="1:5" x14ac:dyDescent="0.25">
      <c r="A257" s="2">
        <v>256</v>
      </c>
      <c r="B257" s="3" t="s">
        <v>518</v>
      </c>
      <c r="C257" s="2" t="s">
        <v>519</v>
      </c>
      <c r="D257" s="2" t="s">
        <v>35</v>
      </c>
      <c r="E257" s="3" t="s">
        <v>1333</v>
      </c>
    </row>
    <row r="258" spans="1:5" x14ac:dyDescent="0.25">
      <c r="A258" s="2">
        <v>257</v>
      </c>
      <c r="B258" s="3" t="s">
        <v>520</v>
      </c>
      <c r="C258" s="2" t="s">
        <v>521</v>
      </c>
      <c r="D258" s="2" t="s">
        <v>35</v>
      </c>
      <c r="E258" s="3" t="s">
        <v>1334</v>
      </c>
    </row>
    <row r="259" spans="1:5" x14ac:dyDescent="0.25">
      <c r="A259" s="2">
        <v>258</v>
      </c>
      <c r="B259" s="3" t="s">
        <v>522</v>
      </c>
      <c r="C259" s="2" t="s">
        <v>523</v>
      </c>
      <c r="D259" s="2" t="s">
        <v>35</v>
      </c>
      <c r="E259" s="3" t="s">
        <v>1335</v>
      </c>
    </row>
    <row r="260" spans="1:5" x14ac:dyDescent="0.25">
      <c r="A260" s="2">
        <v>259</v>
      </c>
      <c r="B260" s="3" t="s">
        <v>524</v>
      </c>
      <c r="C260" s="2" t="s">
        <v>525</v>
      </c>
      <c r="D260" s="2" t="s">
        <v>35</v>
      </c>
      <c r="E260" s="3" t="s">
        <v>1336</v>
      </c>
    </row>
    <row r="261" spans="1:5" x14ac:dyDescent="0.25">
      <c r="A261" s="2">
        <v>260</v>
      </c>
      <c r="B261" s="3" t="s">
        <v>526</v>
      </c>
      <c r="C261" s="2" t="s">
        <v>527</v>
      </c>
      <c r="D261" s="2" t="s">
        <v>35</v>
      </c>
      <c r="E261" s="3" t="s">
        <v>1337</v>
      </c>
    </row>
    <row r="262" spans="1:5" x14ac:dyDescent="0.25">
      <c r="A262" s="2">
        <v>261</v>
      </c>
      <c r="B262" s="3" t="s">
        <v>528</v>
      </c>
      <c r="C262" s="2" t="s">
        <v>529</v>
      </c>
      <c r="D262" s="2" t="s">
        <v>35</v>
      </c>
      <c r="E262" s="3" t="s">
        <v>1338</v>
      </c>
    </row>
    <row r="263" spans="1:5" x14ac:dyDescent="0.25">
      <c r="A263" s="2">
        <v>262</v>
      </c>
      <c r="B263" s="3" t="s">
        <v>530</v>
      </c>
      <c r="C263" s="2" t="s">
        <v>531</v>
      </c>
      <c r="D263" s="2" t="s">
        <v>35</v>
      </c>
      <c r="E263" s="3" t="s">
        <v>1339</v>
      </c>
    </row>
    <row r="264" spans="1:5" x14ac:dyDescent="0.25">
      <c r="A264" s="2">
        <v>263</v>
      </c>
      <c r="B264" s="3" t="s">
        <v>532</v>
      </c>
      <c r="C264" s="2" t="s">
        <v>533</v>
      </c>
      <c r="D264" s="2" t="s">
        <v>35</v>
      </c>
      <c r="E264" s="3" t="s">
        <v>1340</v>
      </c>
    </row>
    <row r="265" spans="1:5" x14ac:dyDescent="0.25">
      <c r="A265" s="2">
        <v>264</v>
      </c>
      <c r="B265" s="3" t="s">
        <v>534</v>
      </c>
      <c r="C265" s="2" t="s">
        <v>535</v>
      </c>
      <c r="D265" s="2" t="s">
        <v>35</v>
      </c>
      <c r="E265" s="3" t="s">
        <v>1341</v>
      </c>
    </row>
    <row r="266" spans="1:5" x14ac:dyDescent="0.25">
      <c r="A266" s="2">
        <v>265</v>
      </c>
      <c r="B266" s="3" t="s">
        <v>536</v>
      </c>
      <c r="C266" s="2" t="s">
        <v>537</v>
      </c>
      <c r="D266" s="2" t="s">
        <v>35</v>
      </c>
      <c r="E266" s="3" t="s">
        <v>1342</v>
      </c>
    </row>
    <row r="267" spans="1:5" x14ac:dyDescent="0.25">
      <c r="A267" s="2">
        <v>266</v>
      </c>
      <c r="B267" s="3" t="s">
        <v>538</v>
      </c>
      <c r="C267" s="2" t="s">
        <v>539</v>
      </c>
      <c r="D267" s="2" t="s">
        <v>7</v>
      </c>
      <c r="E267" s="3" t="s">
        <v>1343</v>
      </c>
    </row>
    <row r="268" spans="1:5" x14ac:dyDescent="0.25">
      <c r="A268" s="2">
        <v>267</v>
      </c>
      <c r="B268" s="3" t="s">
        <v>540</v>
      </c>
      <c r="C268" s="2" t="s">
        <v>541</v>
      </c>
      <c r="D268" s="2" t="s">
        <v>7</v>
      </c>
      <c r="E268" s="3" t="s">
        <v>1354</v>
      </c>
    </row>
    <row r="269" spans="1:5" x14ac:dyDescent="0.25">
      <c r="A269" s="2">
        <v>268</v>
      </c>
      <c r="B269" s="3" t="s">
        <v>542</v>
      </c>
      <c r="C269" s="2" t="s">
        <v>543</v>
      </c>
      <c r="D269" s="2" t="s">
        <v>7</v>
      </c>
      <c r="E269" s="3" t="s">
        <v>1344</v>
      </c>
    </row>
    <row r="270" spans="1:5" x14ac:dyDescent="0.25">
      <c r="A270" s="2">
        <v>269</v>
      </c>
      <c r="B270" s="3" t="s">
        <v>544</v>
      </c>
      <c r="C270" s="2" t="s">
        <v>545</v>
      </c>
      <c r="D270" s="2" t="s">
        <v>7</v>
      </c>
      <c r="E270" s="3" t="s">
        <v>1345</v>
      </c>
    </row>
    <row r="271" spans="1:5" x14ac:dyDescent="0.25">
      <c r="A271" s="2">
        <v>270</v>
      </c>
      <c r="B271" s="3" t="s">
        <v>546</v>
      </c>
      <c r="C271" s="2" t="s">
        <v>547</v>
      </c>
      <c r="D271" s="2" t="s">
        <v>7</v>
      </c>
      <c r="E271" s="3" t="s">
        <v>1346</v>
      </c>
    </row>
    <row r="272" spans="1:5" x14ac:dyDescent="0.25">
      <c r="A272" s="2">
        <v>271</v>
      </c>
      <c r="B272" s="3" t="s">
        <v>548</v>
      </c>
      <c r="C272" s="2" t="s">
        <v>549</v>
      </c>
      <c r="D272" s="2" t="s">
        <v>24</v>
      </c>
      <c r="E272" s="3" t="s">
        <v>1347</v>
      </c>
    </row>
    <row r="273" spans="1:5" x14ac:dyDescent="0.25">
      <c r="A273" s="2">
        <v>272</v>
      </c>
      <c r="B273" s="3" t="s">
        <v>550</v>
      </c>
      <c r="C273" s="2" t="s">
        <v>551</v>
      </c>
      <c r="D273" s="2" t="s">
        <v>24</v>
      </c>
      <c r="E273" s="3" t="s">
        <v>1348</v>
      </c>
    </row>
    <row r="274" spans="1:5" x14ac:dyDescent="0.25">
      <c r="A274" s="2">
        <v>273</v>
      </c>
      <c r="B274" s="3" t="s">
        <v>552</v>
      </c>
      <c r="C274" s="2" t="s">
        <v>553</v>
      </c>
      <c r="D274" s="2" t="s">
        <v>24</v>
      </c>
      <c r="E274" s="3" t="s">
        <v>1349</v>
      </c>
    </row>
    <row r="275" spans="1:5" x14ac:dyDescent="0.25">
      <c r="A275" s="2">
        <v>274</v>
      </c>
      <c r="B275" s="3" t="s">
        <v>554</v>
      </c>
      <c r="C275" s="2" t="s">
        <v>555</v>
      </c>
      <c r="D275" s="2" t="s">
        <v>24</v>
      </c>
      <c r="E275" s="3" t="s">
        <v>1350</v>
      </c>
    </row>
    <row r="276" spans="1:5" x14ac:dyDescent="0.25">
      <c r="A276" s="2">
        <v>275</v>
      </c>
      <c r="B276" s="3" t="s">
        <v>556</v>
      </c>
      <c r="C276" s="2" t="s">
        <v>557</v>
      </c>
      <c r="D276" s="2" t="s">
        <v>24</v>
      </c>
      <c r="E276" s="3" t="s">
        <v>1351</v>
      </c>
    </row>
    <row r="277" spans="1:5" x14ac:dyDescent="0.25">
      <c r="A277" s="2">
        <v>276</v>
      </c>
      <c r="B277" s="3" t="s">
        <v>558</v>
      </c>
      <c r="C277" s="2" t="s">
        <v>559</v>
      </c>
      <c r="D277" s="2" t="s">
        <v>7</v>
      </c>
      <c r="E277" s="3" t="s">
        <v>1355</v>
      </c>
    </row>
    <row r="278" spans="1:5" x14ac:dyDescent="0.25">
      <c r="A278" s="2">
        <v>277</v>
      </c>
      <c r="B278" s="3" t="s">
        <v>560</v>
      </c>
      <c r="C278" s="2" t="s">
        <v>561</v>
      </c>
      <c r="D278" s="2" t="s">
        <v>7</v>
      </c>
      <c r="E278" s="3" t="s">
        <v>1306</v>
      </c>
    </row>
    <row r="279" spans="1:5" x14ac:dyDescent="0.25">
      <c r="A279" s="2">
        <v>278</v>
      </c>
      <c r="B279" s="3" t="s">
        <v>562</v>
      </c>
      <c r="C279" s="2" t="s">
        <v>563</v>
      </c>
      <c r="D279" s="2" t="s">
        <v>7</v>
      </c>
      <c r="E279" s="3" t="s">
        <v>1307</v>
      </c>
    </row>
    <row r="280" spans="1:5" x14ac:dyDescent="0.25">
      <c r="A280" s="2">
        <v>279</v>
      </c>
      <c r="B280" s="3" t="s">
        <v>564</v>
      </c>
      <c r="C280" s="2" t="s">
        <v>565</v>
      </c>
      <c r="D280" s="2" t="s">
        <v>7</v>
      </c>
      <c r="E280" s="3" t="s">
        <v>1307</v>
      </c>
    </row>
    <row r="281" spans="1:5" x14ac:dyDescent="0.25">
      <c r="A281" s="2">
        <v>280</v>
      </c>
      <c r="B281" s="3" t="s">
        <v>566</v>
      </c>
      <c r="C281" s="2" t="s">
        <v>567</v>
      </c>
      <c r="D281" s="2" t="s">
        <v>7</v>
      </c>
      <c r="E281" s="3" t="s">
        <v>1356</v>
      </c>
    </row>
    <row r="282" spans="1:5" x14ac:dyDescent="0.25">
      <c r="A282" s="2">
        <v>281</v>
      </c>
      <c r="B282" s="3" t="s">
        <v>568</v>
      </c>
      <c r="C282" s="2" t="s">
        <v>569</v>
      </c>
      <c r="D282" s="2" t="s">
        <v>7</v>
      </c>
      <c r="E282" s="3" t="s">
        <v>1307</v>
      </c>
    </row>
    <row r="283" spans="1:5" x14ac:dyDescent="0.25">
      <c r="A283" s="2">
        <v>282</v>
      </c>
      <c r="B283" s="3" t="s">
        <v>570</v>
      </c>
      <c r="C283" s="2" t="s">
        <v>571</v>
      </c>
      <c r="D283" s="2" t="s">
        <v>7</v>
      </c>
      <c r="E283" s="3" t="s">
        <v>1357</v>
      </c>
    </row>
    <row r="284" spans="1:5" x14ac:dyDescent="0.25">
      <c r="A284" s="2">
        <v>283</v>
      </c>
      <c r="B284" s="3" t="s">
        <v>572</v>
      </c>
      <c r="C284" s="2" t="s">
        <v>573</v>
      </c>
      <c r="D284" s="2" t="s">
        <v>7</v>
      </c>
      <c r="E284" s="3" t="s">
        <v>1358</v>
      </c>
    </row>
    <row r="285" spans="1:5" x14ac:dyDescent="0.25">
      <c r="A285" s="2">
        <v>284</v>
      </c>
      <c r="B285" s="3" t="s">
        <v>574</v>
      </c>
      <c r="C285" s="2" t="s">
        <v>575</v>
      </c>
      <c r="D285" s="2" t="s">
        <v>24</v>
      </c>
      <c r="E285" s="3" t="s">
        <v>1352</v>
      </c>
    </row>
    <row r="286" spans="1:5" x14ac:dyDescent="0.25">
      <c r="A286" s="2">
        <v>285</v>
      </c>
      <c r="B286" s="3" t="s">
        <v>576</v>
      </c>
      <c r="C286" s="2" t="s">
        <v>577</v>
      </c>
      <c r="D286" s="2" t="s">
        <v>24</v>
      </c>
      <c r="E286" s="3" t="s">
        <v>1353</v>
      </c>
    </row>
    <row r="287" spans="1:5" x14ac:dyDescent="0.25">
      <c r="A287" s="2">
        <v>286</v>
      </c>
      <c r="B287" s="3" t="s">
        <v>578</v>
      </c>
      <c r="C287" s="2" t="s">
        <v>579</v>
      </c>
      <c r="D287" s="2" t="s">
        <v>24</v>
      </c>
      <c r="E287" s="3" t="s">
        <v>1308</v>
      </c>
    </row>
    <row r="288" spans="1:5" x14ac:dyDescent="0.25">
      <c r="A288" s="2">
        <v>287</v>
      </c>
      <c r="B288" s="3" t="s">
        <v>580</v>
      </c>
      <c r="C288" s="2" t="s">
        <v>581</v>
      </c>
      <c r="D288" s="2" t="s">
        <v>24</v>
      </c>
      <c r="E288" s="3" t="s">
        <v>1309</v>
      </c>
    </row>
    <row r="289" spans="1:5" x14ac:dyDescent="0.25">
      <c r="A289" s="2">
        <v>288</v>
      </c>
      <c r="B289" s="3" t="s">
        <v>582</v>
      </c>
      <c r="C289" s="2" t="s">
        <v>583</v>
      </c>
      <c r="D289" s="2" t="s">
        <v>24</v>
      </c>
      <c r="E289" s="3" t="s">
        <v>1310</v>
      </c>
    </row>
    <row r="290" spans="1:5" x14ac:dyDescent="0.25">
      <c r="A290" s="2">
        <v>289</v>
      </c>
      <c r="B290" s="3" t="s">
        <v>584</v>
      </c>
      <c r="C290" s="2" t="s">
        <v>585</v>
      </c>
      <c r="D290" s="2" t="s">
        <v>35</v>
      </c>
      <c r="E290" s="3" t="s">
        <v>1315</v>
      </c>
    </row>
    <row r="291" spans="1:5" x14ac:dyDescent="0.25">
      <c r="A291" s="2">
        <v>290</v>
      </c>
      <c r="B291" s="3" t="s">
        <v>586</v>
      </c>
      <c r="C291" s="2" t="s">
        <v>587</v>
      </c>
      <c r="D291" s="2" t="s">
        <v>35</v>
      </c>
      <c r="E291" s="3" t="s">
        <v>1316</v>
      </c>
    </row>
    <row r="292" spans="1:5" x14ac:dyDescent="0.25">
      <c r="A292" s="2">
        <v>291</v>
      </c>
      <c r="B292" s="3" t="s">
        <v>588</v>
      </c>
      <c r="C292" s="2" t="s">
        <v>589</v>
      </c>
      <c r="D292" s="2" t="s">
        <v>35</v>
      </c>
      <c r="E292" s="3" t="s">
        <v>1317</v>
      </c>
    </row>
    <row r="293" spans="1:5" x14ac:dyDescent="0.25">
      <c r="A293" s="2">
        <v>292</v>
      </c>
      <c r="B293" s="3" t="s">
        <v>590</v>
      </c>
      <c r="C293" s="2" t="s">
        <v>591</v>
      </c>
      <c r="D293" s="2" t="s">
        <v>35</v>
      </c>
      <c r="E293" s="3" t="s">
        <v>1318</v>
      </c>
    </row>
    <row r="294" spans="1:5" x14ac:dyDescent="0.25">
      <c r="A294" s="2">
        <v>293</v>
      </c>
      <c r="B294" s="3" t="s">
        <v>592</v>
      </c>
      <c r="C294" s="2" t="s">
        <v>593</v>
      </c>
      <c r="D294" s="2" t="s">
        <v>35</v>
      </c>
      <c r="E294" s="3" t="s">
        <v>1319</v>
      </c>
    </row>
    <row r="295" spans="1:5" x14ac:dyDescent="0.25">
      <c r="A295" s="2">
        <v>294</v>
      </c>
      <c r="B295" s="3" t="s">
        <v>594</v>
      </c>
      <c r="C295" s="2" t="s">
        <v>595</v>
      </c>
      <c r="D295" s="2" t="s">
        <v>35</v>
      </c>
      <c r="E295" s="3" t="s">
        <v>1320</v>
      </c>
    </row>
    <row r="296" spans="1:5" x14ac:dyDescent="0.25">
      <c r="A296" s="2">
        <v>295</v>
      </c>
      <c r="B296" s="3" t="s">
        <v>596</v>
      </c>
      <c r="C296" s="2" t="s">
        <v>597</v>
      </c>
      <c r="D296" s="2" t="s">
        <v>35</v>
      </c>
      <c r="E296" s="3" t="s">
        <v>1321</v>
      </c>
    </row>
    <row r="297" spans="1:5" x14ac:dyDescent="0.25">
      <c r="A297" s="2">
        <v>296</v>
      </c>
      <c r="B297" s="3" t="s">
        <v>598</v>
      </c>
      <c r="C297" s="2" t="s">
        <v>599</v>
      </c>
      <c r="D297" s="2" t="s">
        <v>35</v>
      </c>
      <c r="E297" s="3" t="s">
        <v>1322</v>
      </c>
    </row>
    <row r="298" spans="1:5" x14ac:dyDescent="0.25">
      <c r="A298" s="2">
        <v>297</v>
      </c>
      <c r="B298" s="3" t="s">
        <v>600</v>
      </c>
      <c r="C298" s="2" t="s">
        <v>601</v>
      </c>
      <c r="D298" s="2" t="s">
        <v>35</v>
      </c>
      <c r="E298" s="3" t="s">
        <v>1312</v>
      </c>
    </row>
    <row r="299" spans="1:5" x14ac:dyDescent="0.25">
      <c r="A299" s="2">
        <v>298</v>
      </c>
      <c r="B299" s="3" t="s">
        <v>602</v>
      </c>
      <c r="C299" s="2" t="s">
        <v>603</v>
      </c>
      <c r="D299" s="2" t="s">
        <v>35</v>
      </c>
      <c r="E299" s="3" t="s">
        <v>1313</v>
      </c>
    </row>
    <row r="300" spans="1:5" x14ac:dyDescent="0.25">
      <c r="A300" s="2">
        <v>299</v>
      </c>
      <c r="B300" s="3" t="s">
        <v>604</v>
      </c>
      <c r="C300" s="2" t="s">
        <v>605</v>
      </c>
      <c r="D300" s="2" t="s">
        <v>35</v>
      </c>
      <c r="E300" s="3" t="s">
        <v>1314</v>
      </c>
    </row>
    <row r="301" spans="1:5" x14ac:dyDescent="0.25">
      <c r="A301" s="2">
        <v>300</v>
      </c>
      <c r="B301" s="3" t="s">
        <v>606</v>
      </c>
      <c r="C301" s="2" t="s">
        <v>607</v>
      </c>
      <c r="D301" s="2" t="s">
        <v>35</v>
      </c>
      <c r="E301" s="3" t="s">
        <v>1311</v>
      </c>
    </row>
    <row r="302" spans="1:5" x14ac:dyDescent="0.25">
      <c r="A302" s="2">
        <v>301</v>
      </c>
      <c r="B302" s="3" t="s">
        <v>608</v>
      </c>
      <c r="C302" s="2" t="s">
        <v>609</v>
      </c>
      <c r="D302" s="2" t="s">
        <v>35</v>
      </c>
      <c r="E302" s="3" t="s">
        <v>1323</v>
      </c>
    </row>
    <row r="303" spans="1:5" x14ac:dyDescent="0.25">
      <c r="A303" s="2">
        <v>302</v>
      </c>
      <c r="B303" s="3" t="s">
        <v>610</v>
      </c>
      <c r="C303" s="2" t="s">
        <v>611</v>
      </c>
      <c r="D303" s="2" t="s">
        <v>35</v>
      </c>
      <c r="E303" s="3" t="s">
        <v>1324</v>
      </c>
    </row>
    <row r="304" spans="1:5" x14ac:dyDescent="0.25">
      <c r="A304" s="2">
        <v>303</v>
      </c>
      <c r="B304" s="3" t="s">
        <v>612</v>
      </c>
      <c r="C304" s="2" t="s">
        <v>613</v>
      </c>
      <c r="D304" s="2" t="s">
        <v>35</v>
      </c>
      <c r="E304" s="3" t="s">
        <v>1325</v>
      </c>
    </row>
    <row r="305" spans="1:5" x14ac:dyDescent="0.25">
      <c r="A305" s="2">
        <v>304</v>
      </c>
      <c r="B305" s="3" t="s">
        <v>614</v>
      </c>
      <c r="C305" s="2" t="s">
        <v>615</v>
      </c>
      <c r="D305" s="2" t="s">
        <v>35</v>
      </c>
      <c r="E305" s="3" t="s">
        <v>1326</v>
      </c>
    </row>
    <row r="306" spans="1:5" x14ac:dyDescent="0.25">
      <c r="A306" s="2">
        <v>305</v>
      </c>
      <c r="B306" s="3" t="s">
        <v>616</v>
      </c>
      <c r="C306" s="2" t="s">
        <v>617</v>
      </c>
      <c r="D306" s="2" t="s">
        <v>35</v>
      </c>
      <c r="E306" s="3" t="s">
        <v>1327</v>
      </c>
    </row>
    <row r="307" spans="1:5" x14ac:dyDescent="0.25">
      <c r="A307" s="2">
        <v>306</v>
      </c>
      <c r="B307" s="3" t="s">
        <v>618</v>
      </c>
      <c r="C307" s="2" t="s">
        <v>619</v>
      </c>
      <c r="D307" s="2" t="s">
        <v>35</v>
      </c>
      <c r="E307" s="3" t="s">
        <v>1328</v>
      </c>
    </row>
    <row r="308" spans="1:5" x14ac:dyDescent="0.25">
      <c r="A308" s="2">
        <v>307</v>
      </c>
      <c r="B308" s="3" t="s">
        <v>620</v>
      </c>
      <c r="C308" s="2" t="s">
        <v>621</v>
      </c>
      <c r="D308" s="2" t="s">
        <v>35</v>
      </c>
      <c r="E308" s="3" t="s">
        <v>1329</v>
      </c>
    </row>
    <row r="309" spans="1:5" x14ac:dyDescent="0.25">
      <c r="A309" s="2">
        <v>308</v>
      </c>
      <c r="B309" s="3" t="s">
        <v>622</v>
      </c>
      <c r="C309" s="2" t="s">
        <v>623</v>
      </c>
      <c r="D309" s="2" t="s">
        <v>35</v>
      </c>
      <c r="E309" s="3" t="s">
        <v>1330</v>
      </c>
    </row>
    <row r="310" spans="1:5" x14ac:dyDescent="0.25">
      <c r="A310" s="2">
        <v>309</v>
      </c>
      <c r="B310" s="3" t="s">
        <v>624</v>
      </c>
      <c r="C310" s="2" t="s">
        <v>625</v>
      </c>
      <c r="D310" s="2" t="s">
        <v>35</v>
      </c>
      <c r="E310" s="3" t="s">
        <v>1331</v>
      </c>
    </row>
    <row r="311" spans="1:5" x14ac:dyDescent="0.25">
      <c r="A311" s="2">
        <v>310</v>
      </c>
      <c r="B311" s="3" t="s">
        <v>626</v>
      </c>
      <c r="C311" s="2" t="s">
        <v>627</v>
      </c>
      <c r="D311" s="2" t="s">
        <v>35</v>
      </c>
      <c r="E311" s="3" t="s">
        <v>1332</v>
      </c>
    </row>
    <row r="312" spans="1:5" x14ac:dyDescent="0.25">
      <c r="A312" s="2">
        <v>311</v>
      </c>
      <c r="B312" s="3" t="s">
        <v>628</v>
      </c>
      <c r="C312" s="2" t="s">
        <v>629</v>
      </c>
      <c r="D312" s="2" t="s">
        <v>35</v>
      </c>
      <c r="E312" s="3" t="s">
        <v>1333</v>
      </c>
    </row>
    <row r="313" spans="1:5" x14ac:dyDescent="0.25">
      <c r="A313" s="2">
        <v>312</v>
      </c>
      <c r="B313" s="3" t="s">
        <v>630</v>
      </c>
      <c r="C313" s="2" t="s">
        <v>631</v>
      </c>
      <c r="D313" s="2" t="s">
        <v>35</v>
      </c>
      <c r="E313" s="3" t="s">
        <v>1334</v>
      </c>
    </row>
    <row r="314" spans="1:5" x14ac:dyDescent="0.25">
      <c r="A314" s="2">
        <v>313</v>
      </c>
      <c r="B314" s="3" t="s">
        <v>632</v>
      </c>
      <c r="C314" s="2" t="s">
        <v>633</v>
      </c>
      <c r="D314" s="2" t="s">
        <v>35</v>
      </c>
      <c r="E314" s="3" t="s">
        <v>1335</v>
      </c>
    </row>
    <row r="315" spans="1:5" x14ac:dyDescent="0.25">
      <c r="A315" s="2">
        <v>314</v>
      </c>
      <c r="B315" s="3" t="s">
        <v>634</v>
      </c>
      <c r="C315" s="2" t="s">
        <v>635</v>
      </c>
      <c r="D315" s="2" t="s">
        <v>35</v>
      </c>
      <c r="E315" s="3" t="s">
        <v>1336</v>
      </c>
    </row>
    <row r="316" spans="1:5" x14ac:dyDescent="0.25">
      <c r="A316" s="2">
        <v>315</v>
      </c>
      <c r="B316" s="3" t="s">
        <v>636</v>
      </c>
      <c r="C316" s="2" t="s">
        <v>637</v>
      </c>
      <c r="D316" s="2" t="s">
        <v>35</v>
      </c>
      <c r="E316" s="3" t="s">
        <v>1337</v>
      </c>
    </row>
    <row r="317" spans="1:5" x14ac:dyDescent="0.25">
      <c r="A317" s="2">
        <v>316</v>
      </c>
      <c r="B317" s="3" t="s">
        <v>638</v>
      </c>
      <c r="C317" s="2" t="s">
        <v>639</v>
      </c>
      <c r="D317" s="2" t="s">
        <v>35</v>
      </c>
      <c r="E317" s="3" t="s">
        <v>1338</v>
      </c>
    </row>
    <row r="318" spans="1:5" x14ac:dyDescent="0.25">
      <c r="A318" s="2">
        <v>317</v>
      </c>
      <c r="B318" s="3" t="s">
        <v>640</v>
      </c>
      <c r="C318" s="2" t="s">
        <v>641</v>
      </c>
      <c r="D318" s="2" t="s">
        <v>35</v>
      </c>
      <c r="E318" s="3" t="s">
        <v>1339</v>
      </c>
    </row>
    <row r="319" spans="1:5" x14ac:dyDescent="0.25">
      <c r="A319" s="2">
        <v>318</v>
      </c>
      <c r="B319" s="3" t="s">
        <v>642</v>
      </c>
      <c r="C319" s="2" t="s">
        <v>643</v>
      </c>
      <c r="D319" s="2" t="s">
        <v>35</v>
      </c>
      <c r="E319" s="3" t="s">
        <v>1340</v>
      </c>
    </row>
    <row r="320" spans="1:5" x14ac:dyDescent="0.25">
      <c r="A320" s="2">
        <v>319</v>
      </c>
      <c r="B320" s="3" t="s">
        <v>644</v>
      </c>
      <c r="C320" s="2" t="s">
        <v>645</v>
      </c>
      <c r="D320" s="2" t="s">
        <v>35</v>
      </c>
      <c r="E320" s="3" t="s">
        <v>1341</v>
      </c>
    </row>
    <row r="321" spans="1:5" x14ac:dyDescent="0.25">
      <c r="A321" s="2">
        <v>320</v>
      </c>
      <c r="B321" s="3" t="s">
        <v>646</v>
      </c>
      <c r="C321" s="2" t="s">
        <v>647</v>
      </c>
      <c r="D321" s="2" t="s">
        <v>35</v>
      </c>
      <c r="E321" s="3" t="s">
        <v>1342</v>
      </c>
    </row>
    <row r="322" spans="1:5" x14ac:dyDescent="0.25">
      <c r="A322" s="2">
        <v>321</v>
      </c>
      <c r="B322" s="3" t="s">
        <v>648</v>
      </c>
      <c r="C322" s="2" t="s">
        <v>649</v>
      </c>
      <c r="D322" s="2" t="s">
        <v>7</v>
      </c>
      <c r="E322" s="3" t="s">
        <v>1343</v>
      </c>
    </row>
    <row r="323" spans="1:5" x14ac:dyDescent="0.25">
      <c r="A323" s="2">
        <v>322</v>
      </c>
      <c r="B323" s="3" t="s">
        <v>650</v>
      </c>
      <c r="C323" s="2" t="s">
        <v>651</v>
      </c>
      <c r="D323" s="2" t="s">
        <v>7</v>
      </c>
      <c r="E323" s="3" t="s">
        <v>1354</v>
      </c>
    </row>
    <row r="324" spans="1:5" x14ac:dyDescent="0.25">
      <c r="A324" s="2">
        <v>323</v>
      </c>
      <c r="B324" s="3" t="s">
        <v>652</v>
      </c>
      <c r="C324" s="2" t="s">
        <v>653</v>
      </c>
      <c r="D324" s="2" t="s">
        <v>7</v>
      </c>
      <c r="E324" s="3" t="s">
        <v>1344</v>
      </c>
    </row>
    <row r="325" spans="1:5" x14ac:dyDescent="0.25">
      <c r="A325" s="2">
        <v>324</v>
      </c>
      <c r="B325" s="3" t="s">
        <v>654</v>
      </c>
      <c r="C325" s="2" t="s">
        <v>655</v>
      </c>
      <c r="D325" s="2" t="s">
        <v>7</v>
      </c>
      <c r="E325" s="3" t="s">
        <v>1345</v>
      </c>
    </row>
    <row r="326" spans="1:5" x14ac:dyDescent="0.25">
      <c r="A326" s="2">
        <v>325</v>
      </c>
      <c r="B326" s="3" t="s">
        <v>656</v>
      </c>
      <c r="C326" s="2" t="s">
        <v>657</v>
      </c>
      <c r="D326" s="2" t="s">
        <v>7</v>
      </c>
      <c r="E326" s="3" t="s">
        <v>1346</v>
      </c>
    </row>
    <row r="327" spans="1:5" x14ac:dyDescent="0.25">
      <c r="A327" s="2">
        <v>326</v>
      </c>
      <c r="B327" s="3" t="s">
        <v>658</v>
      </c>
      <c r="C327" s="2" t="s">
        <v>659</v>
      </c>
      <c r="D327" s="2" t="s">
        <v>24</v>
      </c>
      <c r="E327" s="3" t="s">
        <v>1347</v>
      </c>
    </row>
    <row r="328" spans="1:5" x14ac:dyDescent="0.25">
      <c r="A328" s="2">
        <v>327</v>
      </c>
      <c r="B328" s="3" t="s">
        <v>660</v>
      </c>
      <c r="C328" s="2" t="s">
        <v>661</v>
      </c>
      <c r="D328" s="2" t="s">
        <v>24</v>
      </c>
      <c r="E328" s="3" t="s">
        <v>1348</v>
      </c>
    </row>
    <row r="329" spans="1:5" x14ac:dyDescent="0.25">
      <c r="A329" s="2">
        <v>328</v>
      </c>
      <c r="B329" s="3" t="s">
        <v>662</v>
      </c>
      <c r="C329" s="2" t="s">
        <v>663</v>
      </c>
      <c r="D329" s="2" t="s">
        <v>24</v>
      </c>
      <c r="E329" s="3" t="s">
        <v>1349</v>
      </c>
    </row>
    <row r="330" spans="1:5" x14ac:dyDescent="0.25">
      <c r="A330" s="2">
        <v>329</v>
      </c>
      <c r="B330" s="3" t="s">
        <v>664</v>
      </c>
      <c r="C330" s="2" t="s">
        <v>665</v>
      </c>
      <c r="D330" s="2" t="s">
        <v>24</v>
      </c>
      <c r="E330" s="3" t="s">
        <v>1350</v>
      </c>
    </row>
    <row r="331" spans="1:5" x14ac:dyDescent="0.25">
      <c r="A331" s="2">
        <v>330</v>
      </c>
      <c r="B331" s="3" t="s">
        <v>666</v>
      </c>
      <c r="C331" s="2" t="s">
        <v>667</v>
      </c>
      <c r="D331" s="2" t="s">
        <v>24</v>
      </c>
      <c r="E331" s="3" t="s">
        <v>1351</v>
      </c>
    </row>
    <row r="332" spans="1:5" x14ac:dyDescent="0.25">
      <c r="A332" s="2">
        <v>331</v>
      </c>
      <c r="B332" s="3" t="s">
        <v>668</v>
      </c>
      <c r="C332" s="2" t="s">
        <v>669</v>
      </c>
      <c r="D332" s="2" t="s">
        <v>7</v>
      </c>
      <c r="E332" s="3" t="s">
        <v>1355</v>
      </c>
    </row>
    <row r="333" spans="1:5" x14ac:dyDescent="0.25">
      <c r="A333" s="2">
        <v>332</v>
      </c>
      <c r="B333" s="3" t="s">
        <v>670</v>
      </c>
      <c r="C333" s="2" t="s">
        <v>671</v>
      </c>
      <c r="D333" s="2" t="s">
        <v>7</v>
      </c>
      <c r="E333" s="3" t="s">
        <v>1306</v>
      </c>
    </row>
    <row r="334" spans="1:5" x14ac:dyDescent="0.25">
      <c r="A334" s="2">
        <v>333</v>
      </c>
      <c r="B334" s="3" t="s">
        <v>672</v>
      </c>
      <c r="C334" s="2" t="s">
        <v>673</v>
      </c>
      <c r="D334" s="2" t="s">
        <v>7</v>
      </c>
      <c r="E334" s="3" t="s">
        <v>1307</v>
      </c>
    </row>
    <row r="335" spans="1:5" x14ac:dyDescent="0.25">
      <c r="A335" s="2">
        <v>334</v>
      </c>
      <c r="B335" s="3" t="s">
        <v>674</v>
      </c>
      <c r="C335" s="2" t="s">
        <v>675</v>
      </c>
      <c r="D335" s="2" t="s">
        <v>7</v>
      </c>
      <c r="E335" s="3" t="s">
        <v>1307</v>
      </c>
    </row>
    <row r="336" spans="1:5" x14ac:dyDescent="0.25">
      <c r="A336" s="2">
        <v>335</v>
      </c>
      <c r="B336" s="3" t="s">
        <v>676</v>
      </c>
      <c r="C336" s="2" t="s">
        <v>677</v>
      </c>
      <c r="D336" s="2" t="s">
        <v>7</v>
      </c>
      <c r="E336" s="3" t="s">
        <v>1356</v>
      </c>
    </row>
    <row r="337" spans="1:5" x14ac:dyDescent="0.25">
      <c r="A337" s="2">
        <v>336</v>
      </c>
      <c r="B337" s="3" t="s">
        <v>678</v>
      </c>
      <c r="C337" s="2" t="s">
        <v>679</v>
      </c>
      <c r="D337" s="2" t="s">
        <v>7</v>
      </c>
      <c r="E337" s="3" t="s">
        <v>1307</v>
      </c>
    </row>
    <row r="338" spans="1:5" x14ac:dyDescent="0.25">
      <c r="A338" s="2">
        <v>337</v>
      </c>
      <c r="B338" s="3" t="s">
        <v>680</v>
      </c>
      <c r="C338" s="2" t="s">
        <v>681</v>
      </c>
      <c r="D338" s="2" t="s">
        <v>7</v>
      </c>
      <c r="E338" s="3" t="s">
        <v>1357</v>
      </c>
    </row>
    <row r="339" spans="1:5" x14ac:dyDescent="0.25">
      <c r="A339" s="2">
        <v>338</v>
      </c>
      <c r="B339" s="3" t="s">
        <v>682</v>
      </c>
      <c r="C339" s="2" t="s">
        <v>683</v>
      </c>
      <c r="D339" s="2" t="s">
        <v>7</v>
      </c>
      <c r="E339" s="3" t="s">
        <v>1358</v>
      </c>
    </row>
    <row r="340" spans="1:5" x14ac:dyDescent="0.25">
      <c r="A340" s="2">
        <v>339</v>
      </c>
      <c r="B340" s="3" t="s">
        <v>684</v>
      </c>
      <c r="C340" s="2" t="s">
        <v>685</v>
      </c>
      <c r="D340" s="2" t="s">
        <v>24</v>
      </c>
      <c r="E340" s="3" t="s">
        <v>1352</v>
      </c>
    </row>
    <row r="341" spans="1:5" x14ac:dyDescent="0.25">
      <c r="A341" s="2">
        <v>340</v>
      </c>
      <c r="B341" s="3" t="s">
        <v>686</v>
      </c>
      <c r="C341" s="2" t="s">
        <v>687</v>
      </c>
      <c r="D341" s="2" t="s">
        <v>24</v>
      </c>
      <c r="E341" s="3" t="s">
        <v>1353</v>
      </c>
    </row>
    <row r="342" spans="1:5" x14ac:dyDescent="0.25">
      <c r="A342" s="2">
        <v>341</v>
      </c>
      <c r="B342" s="3" t="s">
        <v>688</v>
      </c>
      <c r="C342" s="2" t="s">
        <v>689</v>
      </c>
      <c r="D342" s="2" t="s">
        <v>24</v>
      </c>
      <c r="E342" s="3" t="s">
        <v>1308</v>
      </c>
    </row>
    <row r="343" spans="1:5" x14ac:dyDescent="0.25">
      <c r="A343" s="2">
        <v>342</v>
      </c>
      <c r="B343" s="3" t="s">
        <v>690</v>
      </c>
      <c r="C343" s="2" t="s">
        <v>691</v>
      </c>
      <c r="D343" s="2" t="s">
        <v>24</v>
      </c>
      <c r="E343" s="3" t="s">
        <v>1309</v>
      </c>
    </row>
    <row r="344" spans="1:5" x14ac:dyDescent="0.25">
      <c r="A344" s="2">
        <v>343</v>
      </c>
      <c r="B344" s="3" t="s">
        <v>692</v>
      </c>
      <c r="C344" s="2" t="s">
        <v>693</v>
      </c>
      <c r="D344" s="2" t="s">
        <v>24</v>
      </c>
      <c r="E344" s="3" t="s">
        <v>1310</v>
      </c>
    </row>
    <row r="345" spans="1:5" x14ac:dyDescent="0.25">
      <c r="A345" s="2">
        <v>344</v>
      </c>
      <c r="B345" s="3" t="s">
        <v>694</v>
      </c>
      <c r="C345" s="2" t="s">
        <v>695</v>
      </c>
      <c r="D345" s="2" t="s">
        <v>35</v>
      </c>
      <c r="E345" s="3" t="s">
        <v>1315</v>
      </c>
    </row>
    <row r="346" spans="1:5" x14ac:dyDescent="0.25">
      <c r="A346" s="2">
        <v>345</v>
      </c>
      <c r="B346" s="3" t="s">
        <v>696</v>
      </c>
      <c r="C346" s="2" t="s">
        <v>697</v>
      </c>
      <c r="D346" s="2" t="s">
        <v>35</v>
      </c>
      <c r="E346" s="3" t="s">
        <v>1316</v>
      </c>
    </row>
    <row r="347" spans="1:5" x14ac:dyDescent="0.25">
      <c r="A347" s="2">
        <v>346</v>
      </c>
      <c r="B347" s="3" t="s">
        <v>698</v>
      </c>
      <c r="C347" s="2" t="s">
        <v>699</v>
      </c>
      <c r="D347" s="2" t="s">
        <v>35</v>
      </c>
      <c r="E347" s="3" t="s">
        <v>1317</v>
      </c>
    </row>
    <row r="348" spans="1:5" x14ac:dyDescent="0.25">
      <c r="A348" s="2">
        <v>347</v>
      </c>
      <c r="B348" s="3" t="s">
        <v>700</v>
      </c>
      <c r="C348" s="2" t="s">
        <v>701</v>
      </c>
      <c r="D348" s="2" t="s">
        <v>35</v>
      </c>
      <c r="E348" s="3" t="s">
        <v>1318</v>
      </c>
    </row>
    <row r="349" spans="1:5" x14ac:dyDescent="0.25">
      <c r="A349" s="2">
        <v>348</v>
      </c>
      <c r="B349" s="3" t="s">
        <v>702</v>
      </c>
      <c r="C349" s="2" t="s">
        <v>703</v>
      </c>
      <c r="D349" s="2" t="s">
        <v>35</v>
      </c>
      <c r="E349" s="3" t="s">
        <v>1319</v>
      </c>
    </row>
    <row r="350" spans="1:5" x14ac:dyDescent="0.25">
      <c r="A350" s="2">
        <v>349</v>
      </c>
      <c r="B350" s="3" t="s">
        <v>704</v>
      </c>
      <c r="C350" s="2" t="s">
        <v>705</v>
      </c>
      <c r="D350" s="2" t="s">
        <v>35</v>
      </c>
      <c r="E350" s="3" t="s">
        <v>1320</v>
      </c>
    </row>
    <row r="351" spans="1:5" x14ac:dyDescent="0.25">
      <c r="A351" s="2">
        <v>350</v>
      </c>
      <c r="B351" s="3" t="s">
        <v>706</v>
      </c>
      <c r="C351" s="2" t="s">
        <v>707</v>
      </c>
      <c r="D351" s="2" t="s">
        <v>35</v>
      </c>
      <c r="E351" s="3" t="s">
        <v>1321</v>
      </c>
    </row>
    <row r="352" spans="1:5" x14ac:dyDescent="0.25">
      <c r="A352" s="2">
        <v>351</v>
      </c>
      <c r="B352" s="3" t="s">
        <v>708</v>
      </c>
      <c r="C352" s="2" t="s">
        <v>709</v>
      </c>
      <c r="D352" s="2" t="s">
        <v>35</v>
      </c>
      <c r="E352" s="3" t="s">
        <v>1322</v>
      </c>
    </row>
    <row r="353" spans="1:5" x14ac:dyDescent="0.25">
      <c r="A353" s="2">
        <v>352</v>
      </c>
      <c r="B353" s="3" t="s">
        <v>710</v>
      </c>
      <c r="C353" s="2" t="s">
        <v>711</v>
      </c>
      <c r="D353" s="2" t="s">
        <v>35</v>
      </c>
      <c r="E353" s="3" t="s">
        <v>1312</v>
      </c>
    </row>
    <row r="354" spans="1:5" x14ac:dyDescent="0.25">
      <c r="A354" s="2">
        <v>353</v>
      </c>
      <c r="B354" s="3" t="s">
        <v>712</v>
      </c>
      <c r="C354" s="2" t="s">
        <v>713</v>
      </c>
      <c r="D354" s="2" t="s">
        <v>35</v>
      </c>
      <c r="E354" s="3" t="s">
        <v>1313</v>
      </c>
    </row>
    <row r="355" spans="1:5" x14ac:dyDescent="0.25">
      <c r="A355" s="2">
        <v>354</v>
      </c>
      <c r="B355" s="3" t="s">
        <v>714</v>
      </c>
      <c r="C355" s="2" t="s">
        <v>715</v>
      </c>
      <c r="D355" s="2" t="s">
        <v>35</v>
      </c>
      <c r="E355" s="3" t="s">
        <v>1314</v>
      </c>
    </row>
    <row r="356" spans="1:5" x14ac:dyDescent="0.25">
      <c r="A356" s="2">
        <v>355</v>
      </c>
      <c r="B356" s="3" t="s">
        <v>716</v>
      </c>
      <c r="C356" s="2" t="s">
        <v>717</v>
      </c>
      <c r="D356" s="2" t="s">
        <v>35</v>
      </c>
      <c r="E356" s="3" t="s">
        <v>1311</v>
      </c>
    </row>
    <row r="357" spans="1:5" x14ac:dyDescent="0.25">
      <c r="A357" s="2">
        <v>356</v>
      </c>
      <c r="B357" s="3" t="s">
        <v>718</v>
      </c>
      <c r="C357" s="2" t="s">
        <v>719</v>
      </c>
      <c r="D357" s="2" t="s">
        <v>35</v>
      </c>
      <c r="E357" s="3" t="s">
        <v>1323</v>
      </c>
    </row>
    <row r="358" spans="1:5" x14ac:dyDescent="0.25">
      <c r="A358" s="2">
        <v>357</v>
      </c>
      <c r="B358" s="3" t="s">
        <v>720</v>
      </c>
      <c r="C358" s="2" t="s">
        <v>721</v>
      </c>
      <c r="D358" s="2" t="s">
        <v>35</v>
      </c>
      <c r="E358" s="3" t="s">
        <v>1324</v>
      </c>
    </row>
    <row r="359" spans="1:5" x14ac:dyDescent="0.25">
      <c r="A359" s="2">
        <v>358</v>
      </c>
      <c r="B359" s="3" t="s">
        <v>722</v>
      </c>
      <c r="C359" s="2" t="s">
        <v>723</v>
      </c>
      <c r="D359" s="2" t="s">
        <v>35</v>
      </c>
      <c r="E359" s="3" t="s">
        <v>1325</v>
      </c>
    </row>
    <row r="360" spans="1:5" x14ac:dyDescent="0.25">
      <c r="A360" s="2">
        <v>359</v>
      </c>
      <c r="B360" s="3" t="s">
        <v>724</v>
      </c>
      <c r="C360" s="2" t="s">
        <v>725</v>
      </c>
      <c r="D360" s="2" t="s">
        <v>35</v>
      </c>
      <c r="E360" s="3" t="s">
        <v>1326</v>
      </c>
    </row>
    <row r="361" spans="1:5" x14ac:dyDescent="0.25">
      <c r="A361" s="2">
        <v>360</v>
      </c>
      <c r="B361" s="3" t="s">
        <v>726</v>
      </c>
      <c r="C361" s="2" t="s">
        <v>727</v>
      </c>
      <c r="D361" s="2" t="s">
        <v>35</v>
      </c>
      <c r="E361" s="3" t="s">
        <v>1327</v>
      </c>
    </row>
    <row r="362" spans="1:5" x14ac:dyDescent="0.25">
      <c r="A362" s="2">
        <v>361</v>
      </c>
      <c r="B362" s="3" t="s">
        <v>728</v>
      </c>
      <c r="C362" s="2" t="s">
        <v>729</v>
      </c>
      <c r="D362" s="2" t="s">
        <v>35</v>
      </c>
      <c r="E362" s="3" t="s">
        <v>1328</v>
      </c>
    </row>
    <row r="363" spans="1:5" x14ac:dyDescent="0.25">
      <c r="A363" s="2">
        <v>362</v>
      </c>
      <c r="B363" s="3" t="s">
        <v>730</v>
      </c>
      <c r="C363" s="2" t="s">
        <v>731</v>
      </c>
      <c r="D363" s="2" t="s">
        <v>35</v>
      </c>
      <c r="E363" s="3" t="s">
        <v>1329</v>
      </c>
    </row>
    <row r="364" spans="1:5" x14ac:dyDescent="0.25">
      <c r="A364" s="2">
        <v>363</v>
      </c>
      <c r="B364" s="3" t="s">
        <v>732</v>
      </c>
      <c r="C364" s="2" t="s">
        <v>733</v>
      </c>
      <c r="D364" s="2" t="s">
        <v>35</v>
      </c>
      <c r="E364" s="3" t="s">
        <v>1330</v>
      </c>
    </row>
    <row r="365" spans="1:5" x14ac:dyDescent="0.25">
      <c r="A365" s="2">
        <v>364</v>
      </c>
      <c r="B365" s="3" t="s">
        <v>734</v>
      </c>
      <c r="C365" s="2" t="s">
        <v>735</v>
      </c>
      <c r="D365" s="2" t="s">
        <v>35</v>
      </c>
      <c r="E365" s="3" t="s">
        <v>1331</v>
      </c>
    </row>
    <row r="366" spans="1:5" x14ac:dyDescent="0.25">
      <c r="A366" s="2">
        <v>365</v>
      </c>
      <c r="B366" s="3" t="s">
        <v>736</v>
      </c>
      <c r="C366" s="2" t="s">
        <v>737</v>
      </c>
      <c r="D366" s="2" t="s">
        <v>35</v>
      </c>
      <c r="E366" s="3" t="s">
        <v>1332</v>
      </c>
    </row>
    <row r="367" spans="1:5" x14ac:dyDescent="0.25">
      <c r="A367" s="2">
        <v>366</v>
      </c>
      <c r="B367" s="3" t="s">
        <v>738</v>
      </c>
      <c r="C367" s="2" t="s">
        <v>739</v>
      </c>
      <c r="D367" s="2" t="s">
        <v>35</v>
      </c>
      <c r="E367" s="3" t="s">
        <v>1333</v>
      </c>
    </row>
    <row r="368" spans="1:5" x14ac:dyDescent="0.25">
      <c r="A368" s="2">
        <v>367</v>
      </c>
      <c r="B368" s="3" t="s">
        <v>740</v>
      </c>
      <c r="C368" s="2" t="s">
        <v>741</v>
      </c>
      <c r="D368" s="2" t="s">
        <v>35</v>
      </c>
      <c r="E368" s="3" t="s">
        <v>1334</v>
      </c>
    </row>
    <row r="369" spans="1:5" x14ac:dyDescent="0.25">
      <c r="A369" s="2">
        <v>368</v>
      </c>
      <c r="B369" s="3" t="s">
        <v>742</v>
      </c>
      <c r="C369" s="2" t="s">
        <v>743</v>
      </c>
      <c r="D369" s="2" t="s">
        <v>35</v>
      </c>
      <c r="E369" s="3" t="s">
        <v>1335</v>
      </c>
    </row>
    <row r="370" spans="1:5" x14ac:dyDescent="0.25">
      <c r="A370" s="2">
        <v>369</v>
      </c>
      <c r="B370" s="3" t="s">
        <v>744</v>
      </c>
      <c r="C370" s="2" t="s">
        <v>745</v>
      </c>
      <c r="D370" s="2" t="s">
        <v>35</v>
      </c>
      <c r="E370" s="3" t="s">
        <v>1336</v>
      </c>
    </row>
    <row r="371" spans="1:5" x14ac:dyDescent="0.25">
      <c r="A371" s="2">
        <v>370</v>
      </c>
      <c r="B371" s="3" t="s">
        <v>746</v>
      </c>
      <c r="C371" s="2" t="s">
        <v>747</v>
      </c>
      <c r="D371" s="2" t="s">
        <v>35</v>
      </c>
      <c r="E371" s="3" t="s">
        <v>1337</v>
      </c>
    </row>
    <row r="372" spans="1:5" x14ac:dyDescent="0.25">
      <c r="A372" s="2">
        <v>371</v>
      </c>
      <c r="B372" s="3" t="s">
        <v>748</v>
      </c>
      <c r="C372" s="2" t="s">
        <v>749</v>
      </c>
      <c r="D372" s="2" t="s">
        <v>35</v>
      </c>
      <c r="E372" s="3" t="s">
        <v>1338</v>
      </c>
    </row>
    <row r="373" spans="1:5" x14ac:dyDescent="0.25">
      <c r="A373" s="2">
        <v>372</v>
      </c>
      <c r="B373" s="3" t="s">
        <v>750</v>
      </c>
      <c r="C373" s="2" t="s">
        <v>751</v>
      </c>
      <c r="D373" s="2" t="s">
        <v>35</v>
      </c>
      <c r="E373" s="3" t="s">
        <v>1339</v>
      </c>
    </row>
    <row r="374" spans="1:5" x14ac:dyDescent="0.25">
      <c r="A374" s="2">
        <v>373</v>
      </c>
      <c r="B374" s="3" t="s">
        <v>752</v>
      </c>
      <c r="C374" s="2" t="s">
        <v>753</v>
      </c>
      <c r="D374" s="2" t="s">
        <v>35</v>
      </c>
      <c r="E374" s="3" t="s">
        <v>1340</v>
      </c>
    </row>
    <row r="375" spans="1:5" x14ac:dyDescent="0.25">
      <c r="A375" s="2">
        <v>374</v>
      </c>
      <c r="B375" s="3" t="s">
        <v>754</v>
      </c>
      <c r="C375" s="2" t="s">
        <v>755</v>
      </c>
      <c r="D375" s="2" t="s">
        <v>35</v>
      </c>
      <c r="E375" s="3" t="s">
        <v>1341</v>
      </c>
    </row>
    <row r="376" spans="1:5" x14ac:dyDescent="0.25">
      <c r="A376" s="2">
        <v>375</v>
      </c>
      <c r="B376" s="3" t="s">
        <v>756</v>
      </c>
      <c r="C376" s="2" t="s">
        <v>757</v>
      </c>
      <c r="D376" s="2" t="s">
        <v>35</v>
      </c>
      <c r="E376" s="3" t="s">
        <v>1342</v>
      </c>
    </row>
    <row r="377" spans="1:5" x14ac:dyDescent="0.25">
      <c r="A377" s="2">
        <v>376</v>
      </c>
      <c r="B377" s="3" t="s">
        <v>758</v>
      </c>
      <c r="C377" s="2" t="s">
        <v>759</v>
      </c>
      <c r="D377" s="2" t="s">
        <v>7</v>
      </c>
      <c r="E377" s="3" t="s">
        <v>1343</v>
      </c>
    </row>
    <row r="378" spans="1:5" x14ac:dyDescent="0.25">
      <c r="A378" s="2">
        <v>377</v>
      </c>
      <c r="B378" s="3" t="s">
        <v>760</v>
      </c>
      <c r="C378" s="2" t="s">
        <v>761</v>
      </c>
      <c r="D378" s="2" t="s">
        <v>7</v>
      </c>
      <c r="E378" s="3" t="s">
        <v>1354</v>
      </c>
    </row>
    <row r="379" spans="1:5" x14ac:dyDescent="0.25">
      <c r="A379" s="2">
        <v>378</v>
      </c>
      <c r="B379" s="3" t="s">
        <v>762</v>
      </c>
      <c r="C379" s="2" t="s">
        <v>763</v>
      </c>
      <c r="D379" s="2" t="s">
        <v>7</v>
      </c>
      <c r="E379" s="3" t="s">
        <v>1344</v>
      </c>
    </row>
    <row r="380" spans="1:5" x14ac:dyDescent="0.25">
      <c r="A380" s="2">
        <v>379</v>
      </c>
      <c r="B380" s="3" t="s">
        <v>764</v>
      </c>
      <c r="C380" s="2" t="s">
        <v>765</v>
      </c>
      <c r="D380" s="2" t="s">
        <v>7</v>
      </c>
      <c r="E380" s="3" t="s">
        <v>1345</v>
      </c>
    </row>
    <row r="381" spans="1:5" x14ac:dyDescent="0.25">
      <c r="A381" s="2">
        <v>380</v>
      </c>
      <c r="B381" s="3" t="s">
        <v>766</v>
      </c>
      <c r="C381" s="2" t="s">
        <v>767</v>
      </c>
      <c r="D381" s="2" t="s">
        <v>7</v>
      </c>
      <c r="E381" s="3" t="s">
        <v>1346</v>
      </c>
    </row>
    <row r="382" spans="1:5" x14ac:dyDescent="0.25">
      <c r="A382" s="2">
        <v>381</v>
      </c>
      <c r="B382" s="3" t="s">
        <v>768</v>
      </c>
      <c r="C382" s="2" t="s">
        <v>769</v>
      </c>
      <c r="D382" s="2" t="s">
        <v>24</v>
      </c>
      <c r="E382" s="3" t="s">
        <v>1347</v>
      </c>
    </row>
    <row r="383" spans="1:5" x14ac:dyDescent="0.25">
      <c r="A383" s="2">
        <v>382</v>
      </c>
      <c r="B383" s="3" t="s">
        <v>770</v>
      </c>
      <c r="C383" s="2" t="s">
        <v>771</v>
      </c>
      <c r="D383" s="2" t="s">
        <v>24</v>
      </c>
      <c r="E383" s="3" t="s">
        <v>1348</v>
      </c>
    </row>
    <row r="384" spans="1:5" x14ac:dyDescent="0.25">
      <c r="A384" s="2">
        <v>383</v>
      </c>
      <c r="B384" s="3" t="s">
        <v>772</v>
      </c>
      <c r="C384" s="2" t="s">
        <v>773</v>
      </c>
      <c r="D384" s="2" t="s">
        <v>24</v>
      </c>
      <c r="E384" s="3" t="s">
        <v>1349</v>
      </c>
    </row>
    <row r="385" spans="1:5" x14ac:dyDescent="0.25">
      <c r="A385" s="2">
        <v>384</v>
      </c>
      <c r="B385" s="3" t="s">
        <v>774</v>
      </c>
      <c r="C385" s="2" t="s">
        <v>775</v>
      </c>
      <c r="D385" s="2" t="s">
        <v>24</v>
      </c>
      <c r="E385" s="3" t="s">
        <v>1350</v>
      </c>
    </row>
    <row r="386" spans="1:5" x14ac:dyDescent="0.25">
      <c r="A386" s="2">
        <v>385</v>
      </c>
      <c r="B386" s="3" t="s">
        <v>776</v>
      </c>
      <c r="C386" s="2" t="s">
        <v>777</v>
      </c>
      <c r="D386" s="2" t="s">
        <v>24</v>
      </c>
      <c r="E386" s="3" t="s">
        <v>1351</v>
      </c>
    </row>
    <row r="387" spans="1:5" x14ac:dyDescent="0.25">
      <c r="A387" s="2">
        <v>386</v>
      </c>
      <c r="B387" s="3" t="s">
        <v>778</v>
      </c>
      <c r="C387" s="2" t="s">
        <v>779</v>
      </c>
      <c r="D387" s="2" t="s">
        <v>7</v>
      </c>
      <c r="E387" s="3" t="s">
        <v>1355</v>
      </c>
    </row>
    <row r="388" spans="1:5" x14ac:dyDescent="0.25">
      <c r="A388" s="2">
        <v>387</v>
      </c>
      <c r="B388" s="3" t="s">
        <v>780</v>
      </c>
      <c r="C388" s="2" t="s">
        <v>781</v>
      </c>
      <c r="D388" s="2" t="s">
        <v>7</v>
      </c>
      <c r="E388" s="3" t="s">
        <v>1306</v>
      </c>
    </row>
    <row r="389" spans="1:5" x14ac:dyDescent="0.25">
      <c r="A389" s="2">
        <v>388</v>
      </c>
      <c r="B389" s="3" t="s">
        <v>782</v>
      </c>
      <c r="C389" s="2" t="s">
        <v>783</v>
      </c>
      <c r="D389" s="2" t="s">
        <v>7</v>
      </c>
      <c r="E389" s="3" t="s">
        <v>1307</v>
      </c>
    </row>
    <row r="390" spans="1:5" x14ac:dyDescent="0.25">
      <c r="A390" s="2">
        <v>389</v>
      </c>
      <c r="B390" s="3" t="s">
        <v>784</v>
      </c>
      <c r="C390" s="2" t="s">
        <v>785</v>
      </c>
      <c r="D390" s="2" t="s">
        <v>7</v>
      </c>
      <c r="E390" s="3" t="s">
        <v>1307</v>
      </c>
    </row>
    <row r="391" spans="1:5" x14ac:dyDescent="0.25">
      <c r="A391" s="2">
        <v>390</v>
      </c>
      <c r="B391" s="3" t="s">
        <v>786</v>
      </c>
      <c r="C391" s="2" t="s">
        <v>787</v>
      </c>
      <c r="D391" s="2" t="s">
        <v>7</v>
      </c>
      <c r="E391" s="3" t="s">
        <v>1356</v>
      </c>
    </row>
    <row r="392" spans="1:5" x14ac:dyDescent="0.25">
      <c r="A392" s="2">
        <v>391</v>
      </c>
      <c r="B392" s="3" t="s">
        <v>788</v>
      </c>
      <c r="C392" s="2" t="s">
        <v>789</v>
      </c>
      <c r="D392" s="2" t="s">
        <v>7</v>
      </c>
      <c r="E392" s="3" t="s">
        <v>1307</v>
      </c>
    </row>
    <row r="393" spans="1:5" x14ac:dyDescent="0.25">
      <c r="A393" s="2">
        <v>392</v>
      </c>
      <c r="B393" s="3" t="s">
        <v>790</v>
      </c>
      <c r="C393" s="2" t="s">
        <v>791</v>
      </c>
      <c r="D393" s="2" t="s">
        <v>7</v>
      </c>
      <c r="E393" s="3" t="s">
        <v>1357</v>
      </c>
    </row>
    <row r="394" spans="1:5" x14ac:dyDescent="0.25">
      <c r="A394" s="2">
        <v>393</v>
      </c>
      <c r="B394" s="3" t="s">
        <v>792</v>
      </c>
      <c r="C394" s="2" t="s">
        <v>793</v>
      </c>
      <c r="D394" s="2" t="s">
        <v>7</v>
      </c>
      <c r="E394" s="3" t="s">
        <v>1358</v>
      </c>
    </row>
    <row r="395" spans="1:5" x14ac:dyDescent="0.25">
      <c r="A395" s="2">
        <v>394</v>
      </c>
      <c r="B395" s="3" t="s">
        <v>794</v>
      </c>
      <c r="C395" s="2" t="s">
        <v>795</v>
      </c>
      <c r="D395" s="2" t="s">
        <v>24</v>
      </c>
      <c r="E395" s="3" t="s">
        <v>1352</v>
      </c>
    </row>
    <row r="396" spans="1:5" x14ac:dyDescent="0.25">
      <c r="A396" s="2">
        <v>395</v>
      </c>
      <c r="B396" s="3" t="s">
        <v>796</v>
      </c>
      <c r="C396" s="2" t="s">
        <v>797</v>
      </c>
      <c r="D396" s="2" t="s">
        <v>24</v>
      </c>
      <c r="E396" s="3" t="s">
        <v>1353</v>
      </c>
    </row>
    <row r="397" spans="1:5" x14ac:dyDescent="0.25">
      <c r="A397" s="2">
        <v>396</v>
      </c>
      <c r="B397" s="3" t="s">
        <v>798</v>
      </c>
      <c r="C397" s="2" t="s">
        <v>799</v>
      </c>
      <c r="D397" s="2" t="s">
        <v>24</v>
      </c>
      <c r="E397" s="3" t="s">
        <v>1308</v>
      </c>
    </row>
    <row r="398" spans="1:5" x14ac:dyDescent="0.25">
      <c r="A398" s="2">
        <v>397</v>
      </c>
      <c r="B398" s="3" t="s">
        <v>800</v>
      </c>
      <c r="C398" s="2" t="s">
        <v>801</v>
      </c>
      <c r="D398" s="2" t="s">
        <v>24</v>
      </c>
      <c r="E398" s="3" t="s">
        <v>1309</v>
      </c>
    </row>
    <row r="399" spans="1:5" x14ac:dyDescent="0.25">
      <c r="A399" s="2">
        <v>398</v>
      </c>
      <c r="B399" s="3" t="s">
        <v>802</v>
      </c>
      <c r="C399" s="2" t="s">
        <v>803</v>
      </c>
      <c r="D399" s="2" t="s">
        <v>24</v>
      </c>
      <c r="E399" s="3" t="s">
        <v>1310</v>
      </c>
    </row>
    <row r="400" spans="1:5" x14ac:dyDescent="0.25">
      <c r="A400" s="2">
        <v>399</v>
      </c>
      <c r="B400" s="3" t="s">
        <v>804</v>
      </c>
      <c r="C400" s="2" t="s">
        <v>805</v>
      </c>
      <c r="D400" s="2" t="s">
        <v>35</v>
      </c>
      <c r="E400" s="3" t="s">
        <v>1315</v>
      </c>
    </row>
    <row r="401" spans="1:5" x14ac:dyDescent="0.25">
      <c r="A401" s="2">
        <v>400</v>
      </c>
      <c r="B401" s="3" t="s">
        <v>806</v>
      </c>
      <c r="C401" s="2" t="s">
        <v>807</v>
      </c>
      <c r="D401" s="2" t="s">
        <v>35</v>
      </c>
      <c r="E401" s="3" t="s">
        <v>1316</v>
      </c>
    </row>
    <row r="402" spans="1:5" x14ac:dyDescent="0.25">
      <c r="A402" s="2">
        <v>401</v>
      </c>
      <c r="B402" s="3" t="s">
        <v>808</v>
      </c>
      <c r="C402" s="2" t="s">
        <v>809</v>
      </c>
      <c r="D402" s="2" t="s">
        <v>35</v>
      </c>
      <c r="E402" s="3" t="s">
        <v>1317</v>
      </c>
    </row>
    <row r="403" spans="1:5" x14ac:dyDescent="0.25">
      <c r="A403" s="2">
        <v>402</v>
      </c>
      <c r="B403" s="3" t="s">
        <v>810</v>
      </c>
      <c r="C403" s="2" t="s">
        <v>811</v>
      </c>
      <c r="D403" s="2" t="s">
        <v>35</v>
      </c>
      <c r="E403" s="3" t="s">
        <v>1318</v>
      </c>
    </row>
    <row r="404" spans="1:5" x14ac:dyDescent="0.25">
      <c r="A404" s="2">
        <v>403</v>
      </c>
      <c r="B404" s="3" t="s">
        <v>812</v>
      </c>
      <c r="C404" s="2" t="s">
        <v>813</v>
      </c>
      <c r="D404" s="2" t="s">
        <v>35</v>
      </c>
      <c r="E404" s="3" t="s">
        <v>1319</v>
      </c>
    </row>
    <row r="405" spans="1:5" x14ac:dyDescent="0.25">
      <c r="A405" s="2">
        <v>404</v>
      </c>
      <c r="B405" s="3" t="s">
        <v>814</v>
      </c>
      <c r="C405" s="2" t="s">
        <v>815</v>
      </c>
      <c r="D405" s="2" t="s">
        <v>35</v>
      </c>
      <c r="E405" s="3" t="s">
        <v>1320</v>
      </c>
    </row>
    <row r="406" spans="1:5" x14ac:dyDescent="0.25">
      <c r="A406" s="2">
        <v>405</v>
      </c>
      <c r="B406" s="3" t="s">
        <v>816</v>
      </c>
      <c r="C406" s="2" t="s">
        <v>817</v>
      </c>
      <c r="D406" s="2" t="s">
        <v>35</v>
      </c>
      <c r="E406" s="3" t="s">
        <v>1321</v>
      </c>
    </row>
    <row r="407" spans="1:5" x14ac:dyDescent="0.25">
      <c r="A407" s="2">
        <v>406</v>
      </c>
      <c r="B407" s="3" t="s">
        <v>818</v>
      </c>
      <c r="C407" s="2" t="s">
        <v>819</v>
      </c>
      <c r="D407" s="2" t="s">
        <v>35</v>
      </c>
      <c r="E407" s="3" t="s">
        <v>1322</v>
      </c>
    </row>
    <row r="408" spans="1:5" x14ac:dyDescent="0.25">
      <c r="A408" s="2">
        <v>407</v>
      </c>
      <c r="B408" s="3" t="s">
        <v>820</v>
      </c>
      <c r="C408" s="2" t="s">
        <v>821</v>
      </c>
      <c r="D408" s="2" t="s">
        <v>35</v>
      </c>
      <c r="E408" s="3" t="s">
        <v>1312</v>
      </c>
    </row>
    <row r="409" spans="1:5" x14ac:dyDescent="0.25">
      <c r="A409" s="2">
        <v>408</v>
      </c>
      <c r="B409" s="3" t="s">
        <v>822</v>
      </c>
      <c r="C409" s="2" t="s">
        <v>823</v>
      </c>
      <c r="D409" s="2" t="s">
        <v>35</v>
      </c>
      <c r="E409" s="3" t="s">
        <v>1313</v>
      </c>
    </row>
    <row r="410" spans="1:5" x14ac:dyDescent="0.25">
      <c r="A410" s="2">
        <v>409</v>
      </c>
      <c r="B410" s="3" t="s">
        <v>824</v>
      </c>
      <c r="C410" s="2" t="s">
        <v>825</v>
      </c>
      <c r="D410" s="2" t="s">
        <v>35</v>
      </c>
      <c r="E410" s="3" t="s">
        <v>1314</v>
      </c>
    </row>
    <row r="411" spans="1:5" x14ac:dyDescent="0.25">
      <c r="A411" s="2">
        <v>410</v>
      </c>
      <c r="B411" s="3" t="s">
        <v>826</v>
      </c>
      <c r="C411" s="2" t="s">
        <v>827</v>
      </c>
      <c r="D411" s="2" t="s">
        <v>35</v>
      </c>
      <c r="E411" s="3" t="s">
        <v>1311</v>
      </c>
    </row>
    <row r="412" spans="1:5" x14ac:dyDescent="0.25">
      <c r="A412" s="2">
        <v>411</v>
      </c>
      <c r="B412" s="3" t="s">
        <v>828</v>
      </c>
      <c r="C412" s="2" t="s">
        <v>829</v>
      </c>
      <c r="D412" s="2" t="s">
        <v>35</v>
      </c>
      <c r="E412" s="3" t="s">
        <v>1323</v>
      </c>
    </row>
    <row r="413" spans="1:5" x14ac:dyDescent="0.25">
      <c r="A413" s="2">
        <v>412</v>
      </c>
      <c r="B413" s="3" t="s">
        <v>830</v>
      </c>
      <c r="C413" s="2" t="s">
        <v>831</v>
      </c>
      <c r="D413" s="2" t="s">
        <v>35</v>
      </c>
      <c r="E413" s="3" t="s">
        <v>1324</v>
      </c>
    </row>
    <row r="414" spans="1:5" x14ac:dyDescent="0.25">
      <c r="A414" s="2">
        <v>413</v>
      </c>
      <c r="B414" s="3" t="s">
        <v>832</v>
      </c>
      <c r="C414" s="2" t="s">
        <v>833</v>
      </c>
      <c r="D414" s="2" t="s">
        <v>35</v>
      </c>
      <c r="E414" s="3" t="s">
        <v>1325</v>
      </c>
    </row>
    <row r="415" spans="1:5" x14ac:dyDescent="0.25">
      <c r="A415" s="2">
        <v>414</v>
      </c>
      <c r="B415" s="3" t="s">
        <v>834</v>
      </c>
      <c r="C415" s="2" t="s">
        <v>835</v>
      </c>
      <c r="D415" s="2" t="s">
        <v>35</v>
      </c>
      <c r="E415" s="3" t="s">
        <v>1326</v>
      </c>
    </row>
    <row r="416" spans="1:5" x14ac:dyDescent="0.25">
      <c r="A416" s="2">
        <v>415</v>
      </c>
      <c r="B416" s="3" t="s">
        <v>836</v>
      </c>
      <c r="C416" s="2" t="s">
        <v>837</v>
      </c>
      <c r="D416" s="2" t="s">
        <v>35</v>
      </c>
      <c r="E416" s="3" t="s">
        <v>1327</v>
      </c>
    </row>
    <row r="417" spans="1:5" x14ac:dyDescent="0.25">
      <c r="A417" s="2">
        <v>416</v>
      </c>
      <c r="B417" s="3" t="s">
        <v>838</v>
      </c>
      <c r="C417" s="2" t="s">
        <v>839</v>
      </c>
      <c r="D417" s="2" t="s">
        <v>35</v>
      </c>
      <c r="E417" s="3" t="s">
        <v>1328</v>
      </c>
    </row>
    <row r="418" spans="1:5" x14ac:dyDescent="0.25">
      <c r="A418" s="2">
        <v>417</v>
      </c>
      <c r="B418" s="3" t="s">
        <v>840</v>
      </c>
      <c r="C418" s="2" t="s">
        <v>841</v>
      </c>
      <c r="D418" s="2" t="s">
        <v>35</v>
      </c>
      <c r="E418" s="3" t="s">
        <v>1329</v>
      </c>
    </row>
    <row r="419" spans="1:5" x14ac:dyDescent="0.25">
      <c r="A419" s="2">
        <v>418</v>
      </c>
      <c r="B419" s="3" t="s">
        <v>842</v>
      </c>
      <c r="C419" s="2" t="s">
        <v>843</v>
      </c>
      <c r="D419" s="2" t="s">
        <v>35</v>
      </c>
      <c r="E419" s="3" t="s">
        <v>1330</v>
      </c>
    </row>
    <row r="420" spans="1:5" x14ac:dyDescent="0.25">
      <c r="A420" s="2">
        <v>419</v>
      </c>
      <c r="B420" s="3" t="s">
        <v>844</v>
      </c>
      <c r="C420" s="2" t="s">
        <v>845</v>
      </c>
      <c r="D420" s="2" t="s">
        <v>35</v>
      </c>
      <c r="E420" s="3" t="s">
        <v>1331</v>
      </c>
    </row>
    <row r="421" spans="1:5" x14ac:dyDescent="0.25">
      <c r="A421" s="2">
        <v>420</v>
      </c>
      <c r="B421" s="3" t="s">
        <v>846</v>
      </c>
      <c r="C421" s="2" t="s">
        <v>847</v>
      </c>
      <c r="D421" s="2" t="s">
        <v>35</v>
      </c>
      <c r="E421" s="3" t="s">
        <v>1332</v>
      </c>
    </row>
    <row r="422" spans="1:5" x14ac:dyDescent="0.25">
      <c r="A422" s="2">
        <v>421</v>
      </c>
      <c r="B422" s="3" t="s">
        <v>848</v>
      </c>
      <c r="C422" s="2" t="s">
        <v>849</v>
      </c>
      <c r="D422" s="2" t="s">
        <v>35</v>
      </c>
      <c r="E422" s="3" t="s">
        <v>1333</v>
      </c>
    </row>
    <row r="423" spans="1:5" x14ac:dyDescent="0.25">
      <c r="A423" s="2">
        <v>422</v>
      </c>
      <c r="B423" s="3" t="s">
        <v>850</v>
      </c>
      <c r="C423" s="2" t="s">
        <v>851</v>
      </c>
      <c r="D423" s="2" t="s">
        <v>35</v>
      </c>
      <c r="E423" s="3" t="s">
        <v>1334</v>
      </c>
    </row>
    <row r="424" spans="1:5" x14ac:dyDescent="0.25">
      <c r="A424" s="2">
        <v>423</v>
      </c>
      <c r="B424" s="3" t="s">
        <v>852</v>
      </c>
      <c r="C424" s="2" t="s">
        <v>853</v>
      </c>
      <c r="D424" s="2" t="s">
        <v>35</v>
      </c>
      <c r="E424" s="3" t="s">
        <v>1335</v>
      </c>
    </row>
    <row r="425" spans="1:5" x14ac:dyDescent="0.25">
      <c r="A425" s="2">
        <v>424</v>
      </c>
      <c r="B425" s="3" t="s">
        <v>854</v>
      </c>
      <c r="C425" s="2" t="s">
        <v>855</v>
      </c>
      <c r="D425" s="2" t="s">
        <v>35</v>
      </c>
      <c r="E425" s="3" t="s">
        <v>1336</v>
      </c>
    </row>
    <row r="426" spans="1:5" x14ac:dyDescent="0.25">
      <c r="A426" s="2">
        <v>425</v>
      </c>
      <c r="B426" s="3" t="s">
        <v>856</v>
      </c>
      <c r="C426" s="2" t="s">
        <v>857</v>
      </c>
      <c r="D426" s="2" t="s">
        <v>35</v>
      </c>
      <c r="E426" s="3" t="s">
        <v>1337</v>
      </c>
    </row>
    <row r="427" spans="1:5" x14ac:dyDescent="0.25">
      <c r="A427" s="2">
        <v>426</v>
      </c>
      <c r="B427" s="3" t="s">
        <v>858</v>
      </c>
      <c r="C427" s="2" t="s">
        <v>859</v>
      </c>
      <c r="D427" s="2" t="s">
        <v>35</v>
      </c>
      <c r="E427" s="3" t="s">
        <v>1338</v>
      </c>
    </row>
    <row r="428" spans="1:5" x14ac:dyDescent="0.25">
      <c r="A428" s="2">
        <v>427</v>
      </c>
      <c r="B428" s="3" t="s">
        <v>860</v>
      </c>
      <c r="C428" s="2" t="s">
        <v>861</v>
      </c>
      <c r="D428" s="2" t="s">
        <v>35</v>
      </c>
      <c r="E428" s="3" t="s">
        <v>1339</v>
      </c>
    </row>
    <row r="429" spans="1:5" x14ac:dyDescent="0.25">
      <c r="A429" s="2">
        <v>428</v>
      </c>
      <c r="B429" s="3" t="s">
        <v>862</v>
      </c>
      <c r="C429" s="2" t="s">
        <v>863</v>
      </c>
      <c r="D429" s="2" t="s">
        <v>35</v>
      </c>
      <c r="E429" s="3" t="s">
        <v>1340</v>
      </c>
    </row>
    <row r="430" spans="1:5" x14ac:dyDescent="0.25">
      <c r="A430" s="2">
        <v>429</v>
      </c>
      <c r="B430" s="3" t="s">
        <v>864</v>
      </c>
      <c r="C430" s="2" t="s">
        <v>865</v>
      </c>
      <c r="D430" s="2" t="s">
        <v>35</v>
      </c>
      <c r="E430" s="3" t="s">
        <v>1341</v>
      </c>
    </row>
    <row r="431" spans="1:5" x14ac:dyDescent="0.25">
      <c r="A431" s="2">
        <v>430</v>
      </c>
      <c r="B431" s="3" t="s">
        <v>866</v>
      </c>
      <c r="C431" s="2" t="s">
        <v>867</v>
      </c>
      <c r="D431" s="2" t="s">
        <v>35</v>
      </c>
      <c r="E431" s="3" t="s">
        <v>1342</v>
      </c>
    </row>
    <row r="432" spans="1:5" x14ac:dyDescent="0.25">
      <c r="A432" s="2">
        <v>431</v>
      </c>
      <c r="B432" s="3" t="s">
        <v>868</v>
      </c>
      <c r="C432" s="2" t="s">
        <v>869</v>
      </c>
      <c r="D432" s="2" t="s">
        <v>7</v>
      </c>
      <c r="E432" s="3" t="s">
        <v>1343</v>
      </c>
    </row>
    <row r="433" spans="1:5" x14ac:dyDescent="0.25">
      <c r="A433" s="2">
        <v>432</v>
      </c>
      <c r="B433" s="3" t="s">
        <v>870</v>
      </c>
      <c r="C433" s="2" t="s">
        <v>871</v>
      </c>
      <c r="D433" s="2" t="s">
        <v>7</v>
      </c>
      <c r="E433" s="3" t="s">
        <v>1354</v>
      </c>
    </row>
    <row r="434" spans="1:5" x14ac:dyDescent="0.25">
      <c r="A434" s="2">
        <v>433</v>
      </c>
      <c r="B434" s="3" t="s">
        <v>872</v>
      </c>
      <c r="C434" s="2" t="s">
        <v>873</v>
      </c>
      <c r="D434" s="2" t="s">
        <v>7</v>
      </c>
      <c r="E434" s="3" t="s">
        <v>1344</v>
      </c>
    </row>
    <row r="435" spans="1:5" x14ac:dyDescent="0.25">
      <c r="A435" s="2">
        <v>434</v>
      </c>
      <c r="B435" s="3" t="s">
        <v>874</v>
      </c>
      <c r="C435" s="2" t="s">
        <v>875</v>
      </c>
      <c r="D435" s="2" t="s">
        <v>7</v>
      </c>
      <c r="E435" s="3" t="s">
        <v>1345</v>
      </c>
    </row>
    <row r="436" spans="1:5" x14ac:dyDescent="0.25">
      <c r="A436" s="2">
        <v>435</v>
      </c>
      <c r="B436" s="3" t="s">
        <v>876</v>
      </c>
      <c r="C436" s="2" t="s">
        <v>877</v>
      </c>
      <c r="D436" s="2" t="s">
        <v>7</v>
      </c>
      <c r="E436" s="3" t="s">
        <v>1346</v>
      </c>
    </row>
    <row r="437" spans="1:5" x14ac:dyDescent="0.25">
      <c r="A437" s="2">
        <v>436</v>
      </c>
      <c r="B437" s="3" t="s">
        <v>878</v>
      </c>
      <c r="C437" s="2" t="s">
        <v>879</v>
      </c>
      <c r="D437" s="2" t="s">
        <v>24</v>
      </c>
      <c r="E437" s="3" t="s">
        <v>1347</v>
      </c>
    </row>
    <row r="438" spans="1:5" x14ac:dyDescent="0.25">
      <c r="A438" s="2">
        <v>437</v>
      </c>
      <c r="B438" s="3" t="s">
        <v>880</v>
      </c>
      <c r="C438" s="2" t="s">
        <v>881</v>
      </c>
      <c r="D438" s="2" t="s">
        <v>24</v>
      </c>
      <c r="E438" s="3" t="s">
        <v>1348</v>
      </c>
    </row>
    <row r="439" spans="1:5" x14ac:dyDescent="0.25">
      <c r="A439" s="2">
        <v>438</v>
      </c>
      <c r="B439" s="3" t="s">
        <v>882</v>
      </c>
      <c r="C439" s="2" t="s">
        <v>883</v>
      </c>
      <c r="D439" s="2" t="s">
        <v>24</v>
      </c>
      <c r="E439" s="3" t="s">
        <v>1349</v>
      </c>
    </row>
    <row r="440" spans="1:5" x14ac:dyDescent="0.25">
      <c r="A440" s="2">
        <v>439</v>
      </c>
      <c r="B440" s="3" t="s">
        <v>884</v>
      </c>
      <c r="C440" s="2" t="s">
        <v>885</v>
      </c>
      <c r="D440" s="2" t="s">
        <v>24</v>
      </c>
      <c r="E440" s="3" t="s">
        <v>1350</v>
      </c>
    </row>
    <row r="441" spans="1:5" x14ac:dyDescent="0.25">
      <c r="A441" s="2">
        <v>440</v>
      </c>
      <c r="B441" s="3" t="s">
        <v>886</v>
      </c>
      <c r="C441" s="2" t="s">
        <v>887</v>
      </c>
      <c r="D441" s="2" t="s">
        <v>24</v>
      </c>
      <c r="E441" s="3" t="s">
        <v>1351</v>
      </c>
    </row>
    <row r="442" spans="1:5" x14ac:dyDescent="0.25">
      <c r="A442" s="2">
        <v>441</v>
      </c>
      <c r="B442" s="3" t="s">
        <v>888</v>
      </c>
      <c r="C442" s="2" t="s">
        <v>889</v>
      </c>
      <c r="D442" s="2" t="s">
        <v>7</v>
      </c>
      <c r="E442" s="3" t="s">
        <v>1355</v>
      </c>
    </row>
    <row r="443" spans="1:5" x14ac:dyDescent="0.25">
      <c r="A443" s="2">
        <v>442</v>
      </c>
      <c r="B443" s="3" t="s">
        <v>890</v>
      </c>
      <c r="C443" s="2" t="s">
        <v>891</v>
      </c>
      <c r="D443" s="2" t="s">
        <v>7</v>
      </c>
      <c r="E443" s="3" t="s">
        <v>1306</v>
      </c>
    </row>
    <row r="444" spans="1:5" x14ac:dyDescent="0.25">
      <c r="A444" s="2">
        <v>443</v>
      </c>
      <c r="B444" s="3" t="s">
        <v>892</v>
      </c>
      <c r="C444" s="2" t="s">
        <v>893</v>
      </c>
      <c r="D444" s="2" t="s">
        <v>7</v>
      </c>
      <c r="E444" s="3" t="s">
        <v>1307</v>
      </c>
    </row>
    <row r="445" spans="1:5" x14ac:dyDescent="0.25">
      <c r="A445" s="2">
        <v>444</v>
      </c>
      <c r="B445" s="3" t="s">
        <v>894</v>
      </c>
      <c r="C445" s="2" t="s">
        <v>895</v>
      </c>
      <c r="D445" s="2" t="s">
        <v>7</v>
      </c>
      <c r="E445" s="3" t="s">
        <v>1307</v>
      </c>
    </row>
    <row r="446" spans="1:5" x14ac:dyDescent="0.25">
      <c r="A446" s="2">
        <v>445</v>
      </c>
      <c r="B446" s="3" t="s">
        <v>896</v>
      </c>
      <c r="C446" s="2" t="s">
        <v>897</v>
      </c>
      <c r="D446" s="2" t="s">
        <v>7</v>
      </c>
      <c r="E446" s="3" t="s">
        <v>1356</v>
      </c>
    </row>
    <row r="447" spans="1:5" x14ac:dyDescent="0.25">
      <c r="A447" s="2">
        <v>446</v>
      </c>
      <c r="B447" s="3" t="s">
        <v>898</v>
      </c>
      <c r="C447" s="2" t="s">
        <v>899</v>
      </c>
      <c r="D447" s="2" t="s">
        <v>7</v>
      </c>
      <c r="E447" s="3" t="s">
        <v>1307</v>
      </c>
    </row>
    <row r="448" spans="1:5" x14ac:dyDescent="0.25">
      <c r="A448" s="2">
        <v>447</v>
      </c>
      <c r="B448" s="3" t="s">
        <v>900</v>
      </c>
      <c r="C448" s="2" t="s">
        <v>901</v>
      </c>
      <c r="D448" s="2" t="s">
        <v>7</v>
      </c>
      <c r="E448" s="3" t="s">
        <v>1357</v>
      </c>
    </row>
    <row r="449" spans="1:5" x14ac:dyDescent="0.25">
      <c r="A449" s="2">
        <v>448</v>
      </c>
      <c r="B449" s="3" t="s">
        <v>902</v>
      </c>
      <c r="C449" s="2" t="s">
        <v>903</v>
      </c>
      <c r="D449" s="2" t="s">
        <v>7</v>
      </c>
      <c r="E449" s="3" t="s">
        <v>1358</v>
      </c>
    </row>
    <row r="450" spans="1:5" x14ac:dyDescent="0.25">
      <c r="A450" s="2">
        <v>449</v>
      </c>
      <c r="B450" s="3" t="s">
        <v>904</v>
      </c>
      <c r="C450" s="2" t="s">
        <v>905</v>
      </c>
      <c r="D450" s="2" t="s">
        <v>24</v>
      </c>
      <c r="E450" s="3" t="s">
        <v>1352</v>
      </c>
    </row>
    <row r="451" spans="1:5" x14ac:dyDescent="0.25">
      <c r="A451" s="2">
        <v>450</v>
      </c>
      <c r="B451" s="3" t="s">
        <v>906</v>
      </c>
      <c r="C451" s="2" t="s">
        <v>907</v>
      </c>
      <c r="D451" s="2" t="s">
        <v>24</v>
      </c>
      <c r="E451" s="3" t="s">
        <v>1353</v>
      </c>
    </row>
    <row r="452" spans="1:5" x14ac:dyDescent="0.25">
      <c r="A452" s="2">
        <v>451</v>
      </c>
      <c r="B452" s="3" t="s">
        <v>908</v>
      </c>
      <c r="C452" s="2" t="s">
        <v>909</v>
      </c>
      <c r="D452" s="2" t="s">
        <v>24</v>
      </c>
      <c r="E452" s="3" t="s">
        <v>1308</v>
      </c>
    </row>
    <row r="453" spans="1:5" x14ac:dyDescent="0.25">
      <c r="A453" s="2">
        <v>452</v>
      </c>
      <c r="B453" s="3" t="s">
        <v>910</v>
      </c>
      <c r="C453" s="2" t="s">
        <v>911</v>
      </c>
      <c r="D453" s="2" t="s">
        <v>24</v>
      </c>
      <c r="E453" s="3" t="s">
        <v>1309</v>
      </c>
    </row>
    <row r="454" spans="1:5" x14ac:dyDescent="0.25">
      <c r="A454" s="2">
        <v>453</v>
      </c>
      <c r="B454" s="3" t="s">
        <v>912</v>
      </c>
      <c r="C454" s="2" t="s">
        <v>913</v>
      </c>
      <c r="D454" s="2" t="s">
        <v>24</v>
      </c>
      <c r="E454" s="3" t="s">
        <v>1310</v>
      </c>
    </row>
    <row r="455" spans="1:5" x14ac:dyDescent="0.25">
      <c r="A455" s="2">
        <v>454</v>
      </c>
      <c r="B455" s="3" t="s">
        <v>914</v>
      </c>
      <c r="C455" s="2" t="s">
        <v>915</v>
      </c>
      <c r="D455" s="2" t="s">
        <v>35</v>
      </c>
      <c r="E455" s="3" t="s">
        <v>1315</v>
      </c>
    </row>
    <row r="456" spans="1:5" x14ac:dyDescent="0.25">
      <c r="A456" s="2">
        <v>455</v>
      </c>
      <c r="B456" s="3" t="s">
        <v>916</v>
      </c>
      <c r="C456" s="2" t="s">
        <v>917</v>
      </c>
      <c r="D456" s="2" t="s">
        <v>35</v>
      </c>
      <c r="E456" s="3" t="s">
        <v>1316</v>
      </c>
    </row>
    <row r="457" spans="1:5" x14ac:dyDescent="0.25">
      <c r="A457" s="2">
        <v>456</v>
      </c>
      <c r="B457" s="3" t="s">
        <v>918</v>
      </c>
      <c r="C457" s="2" t="s">
        <v>919</v>
      </c>
      <c r="D457" s="2" t="s">
        <v>35</v>
      </c>
      <c r="E457" s="3" t="s">
        <v>1317</v>
      </c>
    </row>
    <row r="458" spans="1:5" x14ac:dyDescent="0.25">
      <c r="A458" s="2">
        <v>457</v>
      </c>
      <c r="B458" s="3" t="s">
        <v>920</v>
      </c>
      <c r="C458" s="2" t="s">
        <v>921</v>
      </c>
      <c r="D458" s="2" t="s">
        <v>35</v>
      </c>
      <c r="E458" s="3" t="s">
        <v>1318</v>
      </c>
    </row>
    <row r="459" spans="1:5" x14ac:dyDescent="0.25">
      <c r="A459" s="2">
        <v>458</v>
      </c>
      <c r="B459" s="3" t="s">
        <v>922</v>
      </c>
      <c r="C459" s="2" t="s">
        <v>923</v>
      </c>
      <c r="D459" s="2" t="s">
        <v>35</v>
      </c>
      <c r="E459" s="3" t="s">
        <v>1319</v>
      </c>
    </row>
    <row r="460" spans="1:5" x14ac:dyDescent="0.25">
      <c r="A460" s="2">
        <v>459</v>
      </c>
      <c r="B460" s="3" t="s">
        <v>924</v>
      </c>
      <c r="C460" s="2" t="s">
        <v>925</v>
      </c>
      <c r="D460" s="2" t="s">
        <v>35</v>
      </c>
      <c r="E460" s="3" t="s">
        <v>1320</v>
      </c>
    </row>
    <row r="461" spans="1:5" x14ac:dyDescent="0.25">
      <c r="A461" s="2">
        <v>460</v>
      </c>
      <c r="B461" s="3" t="s">
        <v>926</v>
      </c>
      <c r="C461" s="2" t="s">
        <v>927</v>
      </c>
      <c r="D461" s="2" t="s">
        <v>35</v>
      </c>
      <c r="E461" s="3" t="s">
        <v>1321</v>
      </c>
    </row>
    <row r="462" spans="1:5" x14ac:dyDescent="0.25">
      <c r="A462" s="2">
        <v>461</v>
      </c>
      <c r="B462" s="3" t="s">
        <v>928</v>
      </c>
      <c r="C462" s="2" t="s">
        <v>929</v>
      </c>
      <c r="D462" s="2" t="s">
        <v>35</v>
      </c>
      <c r="E462" s="3" t="s">
        <v>1322</v>
      </c>
    </row>
    <row r="463" spans="1:5" x14ac:dyDescent="0.25">
      <c r="A463" s="2">
        <v>462</v>
      </c>
      <c r="B463" s="3" t="s">
        <v>930</v>
      </c>
      <c r="C463" s="2" t="s">
        <v>931</v>
      </c>
      <c r="D463" s="2" t="s">
        <v>35</v>
      </c>
      <c r="E463" s="3" t="s">
        <v>1312</v>
      </c>
    </row>
    <row r="464" spans="1:5" x14ac:dyDescent="0.25">
      <c r="A464" s="2">
        <v>463</v>
      </c>
      <c r="B464" s="3" t="s">
        <v>932</v>
      </c>
      <c r="C464" s="2" t="s">
        <v>933</v>
      </c>
      <c r="D464" s="2" t="s">
        <v>35</v>
      </c>
      <c r="E464" s="3" t="s">
        <v>1313</v>
      </c>
    </row>
    <row r="465" spans="1:5" x14ac:dyDescent="0.25">
      <c r="A465" s="2">
        <v>464</v>
      </c>
      <c r="B465" s="3" t="s">
        <v>934</v>
      </c>
      <c r="C465" s="2" t="s">
        <v>935</v>
      </c>
      <c r="D465" s="2" t="s">
        <v>35</v>
      </c>
      <c r="E465" s="3" t="s">
        <v>1314</v>
      </c>
    </row>
    <row r="466" spans="1:5" x14ac:dyDescent="0.25">
      <c r="A466" s="2">
        <v>465</v>
      </c>
      <c r="B466" s="3" t="s">
        <v>936</v>
      </c>
      <c r="C466" s="2" t="s">
        <v>937</v>
      </c>
      <c r="D466" s="2" t="s">
        <v>35</v>
      </c>
      <c r="E466" s="3" t="s">
        <v>1311</v>
      </c>
    </row>
    <row r="467" spans="1:5" x14ac:dyDescent="0.25">
      <c r="A467" s="2">
        <v>466</v>
      </c>
      <c r="B467" s="3" t="s">
        <v>938</v>
      </c>
      <c r="C467" s="2" t="s">
        <v>939</v>
      </c>
      <c r="D467" s="2" t="s">
        <v>35</v>
      </c>
      <c r="E467" s="3" t="s">
        <v>1323</v>
      </c>
    </row>
    <row r="468" spans="1:5" x14ac:dyDescent="0.25">
      <c r="A468" s="2">
        <v>467</v>
      </c>
      <c r="B468" s="3" t="s">
        <v>940</v>
      </c>
      <c r="C468" s="2" t="s">
        <v>941</v>
      </c>
      <c r="D468" s="2" t="s">
        <v>35</v>
      </c>
      <c r="E468" s="3" t="s">
        <v>1324</v>
      </c>
    </row>
    <row r="469" spans="1:5" x14ac:dyDescent="0.25">
      <c r="A469" s="2">
        <v>468</v>
      </c>
      <c r="B469" s="3" t="s">
        <v>942</v>
      </c>
      <c r="C469" s="2" t="s">
        <v>943</v>
      </c>
      <c r="D469" s="2" t="s">
        <v>35</v>
      </c>
      <c r="E469" s="3" t="s">
        <v>1325</v>
      </c>
    </row>
    <row r="470" spans="1:5" x14ac:dyDescent="0.25">
      <c r="A470" s="2">
        <v>469</v>
      </c>
      <c r="B470" s="3" t="s">
        <v>944</v>
      </c>
      <c r="C470" s="2" t="s">
        <v>945</v>
      </c>
      <c r="D470" s="2" t="s">
        <v>35</v>
      </c>
      <c r="E470" s="3" t="s">
        <v>1326</v>
      </c>
    </row>
    <row r="471" spans="1:5" x14ac:dyDescent="0.25">
      <c r="A471" s="2">
        <v>470</v>
      </c>
      <c r="B471" s="3" t="s">
        <v>946</v>
      </c>
      <c r="C471" s="2" t="s">
        <v>947</v>
      </c>
      <c r="D471" s="2" t="s">
        <v>35</v>
      </c>
      <c r="E471" s="3" t="s">
        <v>1327</v>
      </c>
    </row>
    <row r="472" spans="1:5" x14ac:dyDescent="0.25">
      <c r="A472" s="2">
        <v>471</v>
      </c>
      <c r="B472" s="3" t="s">
        <v>948</v>
      </c>
      <c r="C472" s="2" t="s">
        <v>949</v>
      </c>
      <c r="D472" s="2" t="s">
        <v>35</v>
      </c>
      <c r="E472" s="3" t="s">
        <v>1328</v>
      </c>
    </row>
    <row r="473" spans="1:5" x14ac:dyDescent="0.25">
      <c r="A473" s="2">
        <v>472</v>
      </c>
      <c r="B473" s="3" t="s">
        <v>950</v>
      </c>
      <c r="C473" s="2" t="s">
        <v>951</v>
      </c>
      <c r="D473" s="2" t="s">
        <v>35</v>
      </c>
      <c r="E473" s="3" t="s">
        <v>1329</v>
      </c>
    </row>
    <row r="474" spans="1:5" x14ac:dyDescent="0.25">
      <c r="A474" s="2">
        <v>473</v>
      </c>
      <c r="B474" s="3" t="s">
        <v>952</v>
      </c>
      <c r="C474" s="2" t="s">
        <v>953</v>
      </c>
      <c r="D474" s="2" t="s">
        <v>35</v>
      </c>
      <c r="E474" s="3" t="s">
        <v>1330</v>
      </c>
    </row>
    <row r="475" spans="1:5" x14ac:dyDescent="0.25">
      <c r="A475" s="2">
        <v>474</v>
      </c>
      <c r="B475" s="3" t="s">
        <v>954</v>
      </c>
      <c r="C475" s="2" t="s">
        <v>955</v>
      </c>
      <c r="D475" s="2" t="s">
        <v>35</v>
      </c>
      <c r="E475" s="3" t="s">
        <v>1331</v>
      </c>
    </row>
    <row r="476" spans="1:5" x14ac:dyDescent="0.25">
      <c r="A476" s="2">
        <v>475</v>
      </c>
      <c r="B476" s="3" t="s">
        <v>956</v>
      </c>
      <c r="C476" s="2" t="s">
        <v>957</v>
      </c>
      <c r="D476" s="2" t="s">
        <v>35</v>
      </c>
      <c r="E476" s="3" t="s">
        <v>1332</v>
      </c>
    </row>
    <row r="477" spans="1:5" x14ac:dyDescent="0.25">
      <c r="A477" s="2">
        <v>476</v>
      </c>
      <c r="B477" s="3" t="s">
        <v>958</v>
      </c>
      <c r="C477" s="2" t="s">
        <v>959</v>
      </c>
      <c r="D477" s="2" t="s">
        <v>35</v>
      </c>
      <c r="E477" s="3" t="s">
        <v>1333</v>
      </c>
    </row>
    <row r="478" spans="1:5" x14ac:dyDescent="0.25">
      <c r="A478" s="2">
        <v>477</v>
      </c>
      <c r="B478" s="3" t="s">
        <v>960</v>
      </c>
      <c r="C478" s="2" t="s">
        <v>961</v>
      </c>
      <c r="D478" s="2" t="s">
        <v>35</v>
      </c>
      <c r="E478" s="3" t="s">
        <v>1334</v>
      </c>
    </row>
    <row r="479" spans="1:5" x14ac:dyDescent="0.25">
      <c r="A479" s="2">
        <v>478</v>
      </c>
      <c r="B479" s="3" t="s">
        <v>962</v>
      </c>
      <c r="C479" s="2" t="s">
        <v>963</v>
      </c>
      <c r="D479" s="2" t="s">
        <v>35</v>
      </c>
      <c r="E479" s="3" t="s">
        <v>1335</v>
      </c>
    </row>
    <row r="480" spans="1:5" x14ac:dyDescent="0.25">
      <c r="A480" s="2">
        <v>479</v>
      </c>
      <c r="B480" s="3" t="s">
        <v>964</v>
      </c>
      <c r="C480" s="2" t="s">
        <v>965</v>
      </c>
      <c r="D480" s="2" t="s">
        <v>35</v>
      </c>
      <c r="E480" s="3" t="s">
        <v>1336</v>
      </c>
    </row>
    <row r="481" spans="1:5" x14ac:dyDescent="0.25">
      <c r="A481" s="2">
        <v>480</v>
      </c>
      <c r="B481" s="3" t="s">
        <v>966</v>
      </c>
      <c r="C481" s="2" t="s">
        <v>967</v>
      </c>
      <c r="D481" s="2" t="s">
        <v>35</v>
      </c>
      <c r="E481" s="3" t="s">
        <v>1337</v>
      </c>
    </row>
    <row r="482" spans="1:5" x14ac:dyDescent="0.25">
      <c r="A482" s="2">
        <v>481</v>
      </c>
      <c r="B482" s="3" t="s">
        <v>968</v>
      </c>
      <c r="C482" s="2" t="s">
        <v>969</v>
      </c>
      <c r="D482" s="2" t="s">
        <v>35</v>
      </c>
      <c r="E482" s="3" t="s">
        <v>1338</v>
      </c>
    </row>
    <row r="483" spans="1:5" x14ac:dyDescent="0.25">
      <c r="A483" s="2">
        <v>482</v>
      </c>
      <c r="B483" s="3" t="s">
        <v>970</v>
      </c>
      <c r="C483" s="2" t="s">
        <v>971</v>
      </c>
      <c r="D483" s="2" t="s">
        <v>35</v>
      </c>
      <c r="E483" s="3" t="s">
        <v>1339</v>
      </c>
    </row>
    <row r="484" spans="1:5" x14ac:dyDescent="0.25">
      <c r="A484" s="2">
        <v>483</v>
      </c>
      <c r="B484" s="3" t="s">
        <v>972</v>
      </c>
      <c r="C484" s="2" t="s">
        <v>973</v>
      </c>
      <c r="D484" s="2" t="s">
        <v>35</v>
      </c>
      <c r="E484" s="3" t="s">
        <v>1340</v>
      </c>
    </row>
    <row r="485" spans="1:5" x14ac:dyDescent="0.25">
      <c r="A485" s="2">
        <v>484</v>
      </c>
      <c r="B485" s="3" t="s">
        <v>974</v>
      </c>
      <c r="C485" s="2" t="s">
        <v>975</v>
      </c>
      <c r="D485" s="2" t="s">
        <v>35</v>
      </c>
      <c r="E485" s="3" t="s">
        <v>1341</v>
      </c>
    </row>
    <row r="486" spans="1:5" x14ac:dyDescent="0.25">
      <c r="A486" s="2">
        <v>485</v>
      </c>
      <c r="B486" s="3" t="s">
        <v>976</v>
      </c>
      <c r="C486" s="2" t="s">
        <v>977</v>
      </c>
      <c r="D486" s="2" t="s">
        <v>35</v>
      </c>
      <c r="E486" s="3" t="s">
        <v>1342</v>
      </c>
    </row>
    <row r="487" spans="1:5" x14ac:dyDescent="0.25">
      <c r="A487" s="2">
        <v>486</v>
      </c>
      <c r="B487" s="3" t="s">
        <v>978</v>
      </c>
      <c r="C487" s="2" t="s">
        <v>979</v>
      </c>
      <c r="D487" s="2" t="s">
        <v>7</v>
      </c>
      <c r="E487" s="3" t="s">
        <v>1343</v>
      </c>
    </row>
    <row r="488" spans="1:5" x14ac:dyDescent="0.25">
      <c r="A488" s="2">
        <v>487</v>
      </c>
      <c r="B488" s="3" t="s">
        <v>980</v>
      </c>
      <c r="C488" s="2" t="s">
        <v>981</v>
      </c>
      <c r="D488" s="2" t="s">
        <v>7</v>
      </c>
      <c r="E488" s="3" t="s">
        <v>1354</v>
      </c>
    </row>
    <row r="489" spans="1:5" x14ac:dyDescent="0.25">
      <c r="A489" s="2">
        <v>488</v>
      </c>
      <c r="B489" s="3" t="s">
        <v>982</v>
      </c>
      <c r="C489" s="2" t="s">
        <v>983</v>
      </c>
      <c r="D489" s="2" t="s">
        <v>7</v>
      </c>
      <c r="E489" s="3" t="s">
        <v>1344</v>
      </c>
    </row>
    <row r="490" spans="1:5" x14ac:dyDescent="0.25">
      <c r="A490" s="2">
        <v>489</v>
      </c>
      <c r="B490" s="3" t="s">
        <v>984</v>
      </c>
      <c r="C490" s="2" t="s">
        <v>985</v>
      </c>
      <c r="D490" s="2" t="s">
        <v>7</v>
      </c>
      <c r="E490" s="3" t="s">
        <v>1345</v>
      </c>
    </row>
    <row r="491" spans="1:5" x14ac:dyDescent="0.25">
      <c r="A491" s="2">
        <v>490</v>
      </c>
      <c r="B491" s="3" t="s">
        <v>986</v>
      </c>
      <c r="C491" s="2" t="s">
        <v>987</v>
      </c>
      <c r="D491" s="2" t="s">
        <v>7</v>
      </c>
      <c r="E491" s="3" t="s">
        <v>1346</v>
      </c>
    </row>
    <row r="492" spans="1:5" x14ac:dyDescent="0.25">
      <c r="A492" s="2">
        <v>491</v>
      </c>
      <c r="B492" s="3" t="s">
        <v>988</v>
      </c>
      <c r="C492" s="2" t="s">
        <v>989</v>
      </c>
      <c r="D492" s="2" t="s">
        <v>24</v>
      </c>
      <c r="E492" s="3" t="s">
        <v>1347</v>
      </c>
    </row>
    <row r="493" spans="1:5" x14ac:dyDescent="0.25">
      <c r="A493" s="2">
        <v>492</v>
      </c>
      <c r="B493" s="3" t="s">
        <v>990</v>
      </c>
      <c r="C493" s="2" t="s">
        <v>991</v>
      </c>
      <c r="D493" s="2" t="s">
        <v>24</v>
      </c>
      <c r="E493" s="3" t="s">
        <v>1348</v>
      </c>
    </row>
    <row r="494" spans="1:5" x14ac:dyDescent="0.25">
      <c r="A494" s="2">
        <v>493</v>
      </c>
      <c r="B494" s="3" t="s">
        <v>992</v>
      </c>
      <c r="C494" s="2" t="s">
        <v>993</v>
      </c>
      <c r="D494" s="2" t="s">
        <v>24</v>
      </c>
      <c r="E494" s="3" t="s">
        <v>1349</v>
      </c>
    </row>
    <row r="495" spans="1:5" x14ac:dyDescent="0.25">
      <c r="A495" s="2">
        <v>494</v>
      </c>
      <c r="B495" s="3" t="s">
        <v>994</v>
      </c>
      <c r="C495" s="2" t="s">
        <v>995</v>
      </c>
      <c r="D495" s="2" t="s">
        <v>24</v>
      </c>
      <c r="E495" s="3" t="s">
        <v>1350</v>
      </c>
    </row>
    <row r="496" spans="1:5" x14ac:dyDescent="0.25">
      <c r="A496" s="2">
        <v>495</v>
      </c>
      <c r="B496" s="3" t="s">
        <v>996</v>
      </c>
      <c r="C496" s="2" t="s">
        <v>997</v>
      </c>
      <c r="D496" s="2" t="s">
        <v>24</v>
      </c>
      <c r="E496" s="3" t="s">
        <v>1351</v>
      </c>
    </row>
    <row r="497" spans="1:5" x14ac:dyDescent="0.25">
      <c r="A497" s="2">
        <v>496</v>
      </c>
      <c r="B497" s="3" t="s">
        <v>998</v>
      </c>
      <c r="C497" s="2" t="s">
        <v>999</v>
      </c>
      <c r="D497" s="2" t="s">
        <v>7</v>
      </c>
      <c r="E497" s="3" t="s">
        <v>1355</v>
      </c>
    </row>
    <row r="498" spans="1:5" x14ac:dyDescent="0.25">
      <c r="A498" s="2">
        <v>497</v>
      </c>
      <c r="B498" s="3" t="s">
        <v>1000</v>
      </c>
      <c r="C498" s="2" t="s">
        <v>1001</v>
      </c>
      <c r="D498" s="2" t="s">
        <v>7</v>
      </c>
      <c r="E498" s="3" t="s">
        <v>1306</v>
      </c>
    </row>
    <row r="499" spans="1:5" x14ac:dyDescent="0.25">
      <c r="A499" s="2">
        <v>498</v>
      </c>
      <c r="B499" s="3" t="s">
        <v>1002</v>
      </c>
      <c r="C499" s="2" t="s">
        <v>1003</v>
      </c>
      <c r="D499" s="2" t="s">
        <v>7</v>
      </c>
      <c r="E499" s="3" t="s">
        <v>1307</v>
      </c>
    </row>
    <row r="500" spans="1:5" x14ac:dyDescent="0.25">
      <c r="A500" s="2">
        <v>499</v>
      </c>
      <c r="B500" s="3" t="s">
        <v>1004</v>
      </c>
      <c r="C500" s="2" t="s">
        <v>1005</v>
      </c>
      <c r="D500" s="2" t="s">
        <v>7</v>
      </c>
      <c r="E500" s="3" t="s">
        <v>1307</v>
      </c>
    </row>
    <row r="501" spans="1:5" x14ac:dyDescent="0.25">
      <c r="A501" s="2">
        <v>500</v>
      </c>
      <c r="B501" s="3" t="s">
        <v>1006</v>
      </c>
      <c r="C501" s="2" t="s">
        <v>1007</v>
      </c>
      <c r="D501" s="2" t="s">
        <v>7</v>
      </c>
      <c r="E501" s="3" t="s">
        <v>1356</v>
      </c>
    </row>
    <row r="502" spans="1:5" x14ac:dyDescent="0.25">
      <c r="A502" s="2">
        <v>501</v>
      </c>
      <c r="B502" s="3" t="s">
        <v>1008</v>
      </c>
      <c r="C502" s="2" t="s">
        <v>1009</v>
      </c>
      <c r="D502" s="2" t="s">
        <v>7</v>
      </c>
      <c r="E502" s="3" t="s">
        <v>1307</v>
      </c>
    </row>
    <row r="503" spans="1:5" x14ac:dyDescent="0.25">
      <c r="A503" s="2">
        <v>502</v>
      </c>
      <c r="B503" s="3" t="s">
        <v>1010</v>
      </c>
      <c r="C503" s="2" t="s">
        <v>1011</v>
      </c>
      <c r="D503" s="2" t="s">
        <v>7</v>
      </c>
      <c r="E503" s="3" t="s">
        <v>1357</v>
      </c>
    </row>
    <row r="504" spans="1:5" x14ac:dyDescent="0.25">
      <c r="A504" s="2">
        <v>503</v>
      </c>
      <c r="B504" s="3" t="s">
        <v>1012</v>
      </c>
      <c r="C504" s="2" t="s">
        <v>1013</v>
      </c>
      <c r="D504" s="2" t="s">
        <v>7</v>
      </c>
      <c r="E504" s="3" t="s">
        <v>1358</v>
      </c>
    </row>
    <row r="505" spans="1:5" x14ac:dyDescent="0.25">
      <c r="A505" s="2">
        <v>504</v>
      </c>
      <c r="B505" s="3" t="s">
        <v>1014</v>
      </c>
      <c r="C505" s="2" t="s">
        <v>1015</v>
      </c>
      <c r="D505" s="2" t="s">
        <v>24</v>
      </c>
      <c r="E505" s="3" t="s">
        <v>1352</v>
      </c>
    </row>
    <row r="506" spans="1:5" x14ac:dyDescent="0.25">
      <c r="A506" s="2">
        <v>505</v>
      </c>
      <c r="B506" s="3" t="s">
        <v>1016</v>
      </c>
      <c r="C506" s="2" t="s">
        <v>1017</v>
      </c>
      <c r="D506" s="2" t="s">
        <v>24</v>
      </c>
      <c r="E506" s="3" t="s">
        <v>1353</v>
      </c>
    </row>
    <row r="507" spans="1:5" x14ac:dyDescent="0.25">
      <c r="A507" s="2">
        <v>506</v>
      </c>
      <c r="B507" s="3" t="s">
        <v>1018</v>
      </c>
      <c r="C507" s="2" t="s">
        <v>1019</v>
      </c>
      <c r="D507" s="2" t="s">
        <v>24</v>
      </c>
      <c r="E507" s="3" t="s">
        <v>1308</v>
      </c>
    </row>
    <row r="508" spans="1:5" x14ac:dyDescent="0.25">
      <c r="A508" s="2">
        <v>507</v>
      </c>
      <c r="B508" s="3" t="s">
        <v>1020</v>
      </c>
      <c r="C508" s="2" t="s">
        <v>1021</v>
      </c>
      <c r="D508" s="2" t="s">
        <v>24</v>
      </c>
      <c r="E508" s="3" t="s">
        <v>1309</v>
      </c>
    </row>
    <row r="509" spans="1:5" x14ac:dyDescent="0.25">
      <c r="A509" s="2">
        <v>508</v>
      </c>
      <c r="B509" s="3" t="s">
        <v>1022</v>
      </c>
      <c r="C509" s="2" t="s">
        <v>1023</v>
      </c>
      <c r="D509" s="2" t="s">
        <v>24</v>
      </c>
      <c r="E509" s="3" t="s">
        <v>1310</v>
      </c>
    </row>
    <row r="510" spans="1:5" x14ac:dyDescent="0.25">
      <c r="A510" s="2">
        <v>509</v>
      </c>
      <c r="B510" s="3" t="s">
        <v>1024</v>
      </c>
      <c r="C510" s="2" t="s">
        <v>1025</v>
      </c>
      <c r="D510" s="2" t="s">
        <v>35</v>
      </c>
      <c r="E510" s="3" t="s">
        <v>1315</v>
      </c>
    </row>
    <row r="511" spans="1:5" x14ac:dyDescent="0.25">
      <c r="A511" s="2">
        <v>510</v>
      </c>
      <c r="B511" s="3" t="s">
        <v>1026</v>
      </c>
      <c r="C511" s="2" t="s">
        <v>1027</v>
      </c>
      <c r="D511" s="2" t="s">
        <v>35</v>
      </c>
      <c r="E511" s="3" t="s">
        <v>1316</v>
      </c>
    </row>
    <row r="512" spans="1:5" x14ac:dyDescent="0.25">
      <c r="A512" s="2">
        <v>511</v>
      </c>
      <c r="B512" s="3" t="s">
        <v>1028</v>
      </c>
      <c r="C512" s="2" t="s">
        <v>1029</v>
      </c>
      <c r="D512" s="2" t="s">
        <v>35</v>
      </c>
      <c r="E512" s="3" t="s">
        <v>1317</v>
      </c>
    </row>
    <row r="513" spans="1:5" x14ac:dyDescent="0.25">
      <c r="A513" s="2">
        <v>512</v>
      </c>
      <c r="B513" s="3" t="s">
        <v>1030</v>
      </c>
      <c r="C513" s="2" t="s">
        <v>1031</v>
      </c>
      <c r="D513" s="2" t="s">
        <v>35</v>
      </c>
      <c r="E513" s="3" t="s">
        <v>1318</v>
      </c>
    </row>
    <row r="514" spans="1:5" x14ac:dyDescent="0.25">
      <c r="A514" s="2">
        <v>513</v>
      </c>
      <c r="B514" s="3" t="s">
        <v>1032</v>
      </c>
      <c r="C514" s="2" t="s">
        <v>1033</v>
      </c>
      <c r="D514" s="2" t="s">
        <v>35</v>
      </c>
      <c r="E514" s="3" t="s">
        <v>1319</v>
      </c>
    </row>
    <row r="515" spans="1:5" x14ac:dyDescent="0.25">
      <c r="A515" s="2">
        <v>514</v>
      </c>
      <c r="B515" s="3" t="s">
        <v>1034</v>
      </c>
      <c r="C515" s="2" t="s">
        <v>1035</v>
      </c>
      <c r="D515" s="2" t="s">
        <v>35</v>
      </c>
      <c r="E515" s="3" t="s">
        <v>1320</v>
      </c>
    </row>
    <row r="516" spans="1:5" x14ac:dyDescent="0.25">
      <c r="A516" s="2">
        <v>515</v>
      </c>
      <c r="B516" s="3" t="s">
        <v>1036</v>
      </c>
      <c r="C516" s="2" t="s">
        <v>1037</v>
      </c>
      <c r="D516" s="2" t="s">
        <v>35</v>
      </c>
      <c r="E516" s="3" t="s">
        <v>1321</v>
      </c>
    </row>
    <row r="517" spans="1:5" x14ac:dyDescent="0.25">
      <c r="A517" s="2">
        <v>516</v>
      </c>
      <c r="B517" s="3" t="s">
        <v>1038</v>
      </c>
      <c r="C517" s="2" t="s">
        <v>1039</v>
      </c>
      <c r="D517" s="2" t="s">
        <v>35</v>
      </c>
      <c r="E517" s="3" t="s">
        <v>1322</v>
      </c>
    </row>
    <row r="518" spans="1:5" x14ac:dyDescent="0.25">
      <c r="A518" s="2">
        <v>517</v>
      </c>
      <c r="B518" s="3" t="s">
        <v>1040</v>
      </c>
      <c r="C518" s="2" t="s">
        <v>1041</v>
      </c>
      <c r="D518" s="2" t="s">
        <v>35</v>
      </c>
      <c r="E518" s="3" t="s">
        <v>1312</v>
      </c>
    </row>
    <row r="519" spans="1:5" x14ac:dyDescent="0.25">
      <c r="A519" s="2">
        <v>518</v>
      </c>
      <c r="B519" s="3" t="s">
        <v>1042</v>
      </c>
      <c r="C519" s="2" t="s">
        <v>1043</v>
      </c>
      <c r="D519" s="2" t="s">
        <v>35</v>
      </c>
      <c r="E519" s="3" t="s">
        <v>1313</v>
      </c>
    </row>
    <row r="520" spans="1:5" x14ac:dyDescent="0.25">
      <c r="A520" s="2">
        <v>519</v>
      </c>
      <c r="B520" s="3" t="s">
        <v>1044</v>
      </c>
      <c r="C520" s="2" t="s">
        <v>1045</v>
      </c>
      <c r="D520" s="2" t="s">
        <v>35</v>
      </c>
      <c r="E520" s="3" t="s">
        <v>1314</v>
      </c>
    </row>
    <row r="521" spans="1:5" x14ac:dyDescent="0.25">
      <c r="A521" s="2">
        <v>520</v>
      </c>
      <c r="B521" s="3" t="s">
        <v>1046</v>
      </c>
      <c r="C521" s="2" t="s">
        <v>1047</v>
      </c>
      <c r="D521" s="2" t="s">
        <v>35</v>
      </c>
      <c r="E521" s="3" t="s">
        <v>1311</v>
      </c>
    </row>
    <row r="522" spans="1:5" x14ac:dyDescent="0.25">
      <c r="A522" s="2">
        <v>521</v>
      </c>
      <c r="B522" s="3" t="s">
        <v>1048</v>
      </c>
      <c r="C522" s="2" t="s">
        <v>1049</v>
      </c>
      <c r="D522" s="2" t="s">
        <v>35</v>
      </c>
      <c r="E522" s="3" t="s">
        <v>1323</v>
      </c>
    </row>
    <row r="523" spans="1:5" x14ac:dyDescent="0.25">
      <c r="A523" s="2">
        <v>522</v>
      </c>
      <c r="B523" s="3" t="s">
        <v>1050</v>
      </c>
      <c r="C523" s="2" t="s">
        <v>1051</v>
      </c>
      <c r="D523" s="2" t="s">
        <v>35</v>
      </c>
      <c r="E523" s="3" t="s">
        <v>1324</v>
      </c>
    </row>
    <row r="524" spans="1:5" x14ac:dyDescent="0.25">
      <c r="A524" s="2">
        <v>523</v>
      </c>
      <c r="B524" s="3" t="s">
        <v>1052</v>
      </c>
      <c r="C524" s="2" t="s">
        <v>1053</v>
      </c>
      <c r="D524" s="2" t="s">
        <v>35</v>
      </c>
      <c r="E524" s="3" t="s">
        <v>1325</v>
      </c>
    </row>
    <row r="525" spans="1:5" x14ac:dyDescent="0.25">
      <c r="A525" s="2">
        <v>524</v>
      </c>
      <c r="B525" s="3" t="s">
        <v>1054</v>
      </c>
      <c r="C525" s="2" t="s">
        <v>1055</v>
      </c>
      <c r="D525" s="2" t="s">
        <v>35</v>
      </c>
      <c r="E525" s="3" t="s">
        <v>1326</v>
      </c>
    </row>
    <row r="526" spans="1:5" x14ac:dyDescent="0.25">
      <c r="A526" s="2">
        <v>525</v>
      </c>
      <c r="B526" s="3" t="s">
        <v>1056</v>
      </c>
      <c r="C526" s="2" t="s">
        <v>1057</v>
      </c>
      <c r="D526" s="2" t="s">
        <v>35</v>
      </c>
      <c r="E526" s="3" t="s">
        <v>1327</v>
      </c>
    </row>
    <row r="527" spans="1:5" x14ac:dyDescent="0.25">
      <c r="A527" s="2">
        <v>526</v>
      </c>
      <c r="B527" s="3" t="s">
        <v>1058</v>
      </c>
      <c r="C527" s="2" t="s">
        <v>1059</v>
      </c>
      <c r="D527" s="2" t="s">
        <v>35</v>
      </c>
      <c r="E527" s="3" t="s">
        <v>1328</v>
      </c>
    </row>
    <row r="528" spans="1:5" x14ac:dyDescent="0.25">
      <c r="A528" s="2">
        <v>527</v>
      </c>
      <c r="B528" s="3" t="s">
        <v>1060</v>
      </c>
      <c r="C528" s="2" t="s">
        <v>1061</v>
      </c>
      <c r="D528" s="2" t="s">
        <v>35</v>
      </c>
      <c r="E528" s="3" t="s">
        <v>1329</v>
      </c>
    </row>
    <row r="529" spans="1:5" x14ac:dyDescent="0.25">
      <c r="A529" s="2">
        <v>528</v>
      </c>
      <c r="B529" s="3" t="s">
        <v>1062</v>
      </c>
      <c r="C529" s="2" t="s">
        <v>1063</v>
      </c>
      <c r="D529" s="2" t="s">
        <v>35</v>
      </c>
      <c r="E529" s="3" t="s">
        <v>1330</v>
      </c>
    </row>
    <row r="530" spans="1:5" x14ac:dyDescent="0.25">
      <c r="A530" s="2">
        <v>529</v>
      </c>
      <c r="B530" s="3" t="s">
        <v>1064</v>
      </c>
      <c r="C530" s="2" t="s">
        <v>1065</v>
      </c>
      <c r="D530" s="2" t="s">
        <v>35</v>
      </c>
      <c r="E530" s="3" t="s">
        <v>1331</v>
      </c>
    </row>
    <row r="531" spans="1:5" x14ac:dyDescent="0.25">
      <c r="A531" s="2">
        <v>530</v>
      </c>
      <c r="B531" s="3" t="s">
        <v>1066</v>
      </c>
      <c r="C531" s="2" t="s">
        <v>1067</v>
      </c>
      <c r="D531" s="2" t="s">
        <v>35</v>
      </c>
      <c r="E531" s="3" t="s">
        <v>1332</v>
      </c>
    </row>
    <row r="532" spans="1:5" x14ac:dyDescent="0.25">
      <c r="A532" s="2">
        <v>531</v>
      </c>
      <c r="B532" s="3" t="s">
        <v>1068</v>
      </c>
      <c r="C532" s="2" t="s">
        <v>1069</v>
      </c>
      <c r="D532" s="2" t="s">
        <v>35</v>
      </c>
      <c r="E532" s="3" t="s">
        <v>1333</v>
      </c>
    </row>
    <row r="533" spans="1:5" x14ac:dyDescent="0.25">
      <c r="A533" s="2">
        <v>532</v>
      </c>
      <c r="B533" s="3" t="s">
        <v>1070</v>
      </c>
      <c r="C533" s="2" t="s">
        <v>1071</v>
      </c>
      <c r="D533" s="2" t="s">
        <v>35</v>
      </c>
      <c r="E533" s="3" t="s">
        <v>1334</v>
      </c>
    </row>
    <row r="534" spans="1:5" x14ac:dyDescent="0.25">
      <c r="A534" s="2">
        <v>533</v>
      </c>
      <c r="B534" s="3" t="s">
        <v>1072</v>
      </c>
      <c r="C534" s="2" t="s">
        <v>1073</v>
      </c>
      <c r="D534" s="2" t="s">
        <v>35</v>
      </c>
      <c r="E534" s="3" t="s">
        <v>1335</v>
      </c>
    </row>
    <row r="535" spans="1:5" x14ac:dyDescent="0.25">
      <c r="A535" s="2">
        <v>534</v>
      </c>
      <c r="B535" s="3" t="s">
        <v>1074</v>
      </c>
      <c r="C535" s="2" t="s">
        <v>1075</v>
      </c>
      <c r="D535" s="2" t="s">
        <v>35</v>
      </c>
      <c r="E535" s="3" t="s">
        <v>1336</v>
      </c>
    </row>
    <row r="536" spans="1:5" x14ac:dyDescent="0.25">
      <c r="A536" s="2">
        <v>535</v>
      </c>
      <c r="B536" s="3" t="s">
        <v>1076</v>
      </c>
      <c r="C536" s="2" t="s">
        <v>1077</v>
      </c>
      <c r="D536" s="2" t="s">
        <v>35</v>
      </c>
      <c r="E536" s="3" t="s">
        <v>1337</v>
      </c>
    </row>
    <row r="537" spans="1:5" x14ac:dyDescent="0.25">
      <c r="A537" s="2">
        <v>536</v>
      </c>
      <c r="B537" s="3" t="s">
        <v>1078</v>
      </c>
      <c r="C537" s="2" t="s">
        <v>1079</v>
      </c>
      <c r="D537" s="2" t="s">
        <v>35</v>
      </c>
      <c r="E537" s="3" t="s">
        <v>1338</v>
      </c>
    </row>
    <row r="538" spans="1:5" x14ac:dyDescent="0.25">
      <c r="A538" s="2">
        <v>537</v>
      </c>
      <c r="B538" s="3" t="s">
        <v>1080</v>
      </c>
      <c r="C538" s="2" t="s">
        <v>1081</v>
      </c>
      <c r="D538" s="2" t="s">
        <v>35</v>
      </c>
      <c r="E538" s="3" t="s">
        <v>1339</v>
      </c>
    </row>
    <row r="539" spans="1:5" x14ac:dyDescent="0.25">
      <c r="A539" s="2">
        <v>538</v>
      </c>
      <c r="B539" s="3" t="s">
        <v>1082</v>
      </c>
      <c r="C539" s="2" t="s">
        <v>1083</v>
      </c>
      <c r="D539" s="2" t="s">
        <v>35</v>
      </c>
      <c r="E539" s="3" t="s">
        <v>1340</v>
      </c>
    </row>
    <row r="540" spans="1:5" x14ac:dyDescent="0.25">
      <c r="A540" s="2">
        <v>539</v>
      </c>
      <c r="B540" s="3" t="s">
        <v>1084</v>
      </c>
      <c r="C540" s="2" t="s">
        <v>1085</v>
      </c>
      <c r="D540" s="2" t="s">
        <v>35</v>
      </c>
      <c r="E540" s="3" t="s">
        <v>1341</v>
      </c>
    </row>
    <row r="541" spans="1:5" x14ac:dyDescent="0.25">
      <c r="A541" s="2">
        <v>540</v>
      </c>
      <c r="B541" s="3" t="s">
        <v>1086</v>
      </c>
      <c r="C541" s="2" t="s">
        <v>1087</v>
      </c>
      <c r="D541" s="2" t="s">
        <v>35</v>
      </c>
      <c r="E541" s="3" t="s">
        <v>1342</v>
      </c>
    </row>
    <row r="542" spans="1:5" x14ac:dyDescent="0.25">
      <c r="A542" s="2">
        <v>541</v>
      </c>
      <c r="B542" s="3" t="s">
        <v>1088</v>
      </c>
      <c r="C542" s="2" t="s">
        <v>1089</v>
      </c>
      <c r="D542" s="2" t="s">
        <v>7</v>
      </c>
      <c r="E542" s="3" t="s">
        <v>1343</v>
      </c>
    </row>
    <row r="543" spans="1:5" x14ac:dyDescent="0.25">
      <c r="A543" s="2">
        <v>542</v>
      </c>
      <c r="B543" s="3" t="s">
        <v>1090</v>
      </c>
      <c r="C543" s="2" t="s">
        <v>1091</v>
      </c>
      <c r="D543" s="2" t="s">
        <v>7</v>
      </c>
      <c r="E543" s="3" t="s">
        <v>1354</v>
      </c>
    </row>
    <row r="544" spans="1:5" x14ac:dyDescent="0.25">
      <c r="A544" s="2">
        <v>543</v>
      </c>
      <c r="B544" s="3" t="s">
        <v>1092</v>
      </c>
      <c r="C544" s="2" t="s">
        <v>1093</v>
      </c>
      <c r="D544" s="2" t="s">
        <v>7</v>
      </c>
      <c r="E544" s="3" t="s">
        <v>1344</v>
      </c>
    </row>
    <row r="545" spans="1:5" x14ac:dyDescent="0.25">
      <c r="A545" s="2">
        <v>544</v>
      </c>
      <c r="B545" s="3" t="s">
        <v>1094</v>
      </c>
      <c r="C545" s="2" t="s">
        <v>1095</v>
      </c>
      <c r="D545" s="2" t="s">
        <v>7</v>
      </c>
      <c r="E545" s="3" t="s">
        <v>1345</v>
      </c>
    </row>
    <row r="546" spans="1:5" x14ac:dyDescent="0.25">
      <c r="A546" s="2">
        <v>545</v>
      </c>
      <c r="B546" s="3" t="s">
        <v>1096</v>
      </c>
      <c r="C546" s="2" t="s">
        <v>1097</v>
      </c>
      <c r="D546" s="2" t="s">
        <v>7</v>
      </c>
      <c r="E546" s="3" t="s">
        <v>1346</v>
      </c>
    </row>
    <row r="547" spans="1:5" x14ac:dyDescent="0.25">
      <c r="A547" s="2">
        <v>546</v>
      </c>
      <c r="B547" s="3" t="s">
        <v>1098</v>
      </c>
      <c r="C547" s="2" t="s">
        <v>1099</v>
      </c>
      <c r="D547" s="2" t="s">
        <v>24</v>
      </c>
      <c r="E547" s="3" t="s">
        <v>1347</v>
      </c>
    </row>
    <row r="548" spans="1:5" x14ac:dyDescent="0.25">
      <c r="A548" s="2">
        <v>547</v>
      </c>
      <c r="B548" s="3" t="s">
        <v>1100</v>
      </c>
      <c r="C548" s="2" t="s">
        <v>1101</v>
      </c>
      <c r="D548" s="2" t="s">
        <v>24</v>
      </c>
      <c r="E548" s="3" t="s">
        <v>1348</v>
      </c>
    </row>
    <row r="549" spans="1:5" x14ac:dyDescent="0.25">
      <c r="A549" s="2">
        <v>548</v>
      </c>
      <c r="B549" s="3" t="s">
        <v>1102</v>
      </c>
      <c r="C549" s="2" t="s">
        <v>1103</v>
      </c>
      <c r="D549" s="2" t="s">
        <v>24</v>
      </c>
      <c r="E549" s="3" t="s">
        <v>1349</v>
      </c>
    </row>
    <row r="550" spans="1:5" x14ac:dyDescent="0.25">
      <c r="A550" s="2">
        <v>549</v>
      </c>
      <c r="B550" s="3" t="s">
        <v>1104</v>
      </c>
      <c r="C550" s="2" t="s">
        <v>1105</v>
      </c>
      <c r="D550" s="2" t="s">
        <v>24</v>
      </c>
      <c r="E550" s="3" t="s">
        <v>1350</v>
      </c>
    </row>
    <row r="551" spans="1:5" x14ac:dyDescent="0.25">
      <c r="A551" s="2">
        <v>550</v>
      </c>
      <c r="B551" s="3" t="s">
        <v>1106</v>
      </c>
      <c r="C551" s="2" t="s">
        <v>1107</v>
      </c>
      <c r="D551" s="2" t="s">
        <v>24</v>
      </c>
      <c r="E551" s="3" t="s">
        <v>1351</v>
      </c>
    </row>
    <row r="552" spans="1:5" x14ac:dyDescent="0.25">
      <c r="A552" s="2">
        <v>551</v>
      </c>
      <c r="B552" s="3" t="s">
        <v>1108</v>
      </c>
      <c r="C552" s="2" t="s">
        <v>1109</v>
      </c>
      <c r="D552" s="2" t="s">
        <v>35</v>
      </c>
      <c r="E552" s="3" t="s">
        <v>1315</v>
      </c>
    </row>
    <row r="553" spans="1:5" x14ac:dyDescent="0.25">
      <c r="A553" s="2">
        <v>552</v>
      </c>
      <c r="B553" s="3" t="s">
        <v>1110</v>
      </c>
      <c r="C553" s="2" t="s">
        <v>1111</v>
      </c>
      <c r="D553" s="2" t="s">
        <v>35</v>
      </c>
      <c r="E553" s="3" t="s">
        <v>1316</v>
      </c>
    </row>
    <row r="554" spans="1:5" x14ac:dyDescent="0.25">
      <c r="A554" s="2">
        <v>553</v>
      </c>
      <c r="B554" s="3" t="s">
        <v>1112</v>
      </c>
      <c r="C554" s="2" t="s">
        <v>1113</v>
      </c>
      <c r="D554" s="2" t="s">
        <v>35</v>
      </c>
      <c r="E554" s="3" t="s">
        <v>1317</v>
      </c>
    </row>
    <row r="555" spans="1:5" x14ac:dyDescent="0.25">
      <c r="A555" s="2">
        <v>554</v>
      </c>
      <c r="B555" s="3" t="s">
        <v>1114</v>
      </c>
      <c r="C555" s="2" t="s">
        <v>1115</v>
      </c>
      <c r="D555" s="2" t="s">
        <v>35</v>
      </c>
      <c r="E555" s="3" t="s">
        <v>1318</v>
      </c>
    </row>
    <row r="556" spans="1:5" x14ac:dyDescent="0.25">
      <c r="A556" s="2">
        <v>555</v>
      </c>
      <c r="B556" s="3" t="s">
        <v>1116</v>
      </c>
      <c r="C556" s="2" t="s">
        <v>1117</v>
      </c>
      <c r="D556" s="2" t="s">
        <v>35</v>
      </c>
      <c r="E556" s="3" t="s">
        <v>1319</v>
      </c>
    </row>
    <row r="557" spans="1:5" x14ac:dyDescent="0.25">
      <c r="A557" s="2">
        <v>556</v>
      </c>
      <c r="B557" s="3" t="s">
        <v>1118</v>
      </c>
      <c r="C557" s="2" t="s">
        <v>1119</v>
      </c>
      <c r="D557" s="2" t="s">
        <v>35</v>
      </c>
      <c r="E557" s="3" t="s">
        <v>1320</v>
      </c>
    </row>
    <row r="558" spans="1:5" x14ac:dyDescent="0.25">
      <c r="A558" s="2">
        <v>557</v>
      </c>
      <c r="B558" s="3" t="s">
        <v>1120</v>
      </c>
      <c r="C558" s="2" t="s">
        <v>1121</v>
      </c>
      <c r="D558" s="2" t="s">
        <v>35</v>
      </c>
      <c r="E558" s="3" t="s">
        <v>1321</v>
      </c>
    </row>
    <row r="559" spans="1:5" x14ac:dyDescent="0.25">
      <c r="A559" s="2">
        <v>558</v>
      </c>
      <c r="B559" s="3" t="s">
        <v>1122</v>
      </c>
      <c r="C559" s="2" t="s">
        <v>1123</v>
      </c>
      <c r="D559" s="2" t="s">
        <v>35</v>
      </c>
      <c r="E559" s="3" t="s">
        <v>1322</v>
      </c>
    </row>
    <row r="560" spans="1:5" x14ac:dyDescent="0.25">
      <c r="A560" s="2">
        <v>559</v>
      </c>
      <c r="B560" s="3" t="s">
        <v>1124</v>
      </c>
      <c r="C560" s="2" t="s">
        <v>1125</v>
      </c>
      <c r="D560" s="2" t="s">
        <v>35</v>
      </c>
      <c r="E560" s="3" t="s">
        <v>1312</v>
      </c>
    </row>
    <row r="561" spans="1:5" x14ac:dyDescent="0.25">
      <c r="A561" s="2">
        <v>560</v>
      </c>
      <c r="B561" s="3" t="s">
        <v>1126</v>
      </c>
      <c r="C561" s="2" t="s">
        <v>1127</v>
      </c>
      <c r="D561" s="2" t="s">
        <v>35</v>
      </c>
      <c r="E561" s="3" t="s">
        <v>1313</v>
      </c>
    </row>
    <row r="562" spans="1:5" x14ac:dyDescent="0.25">
      <c r="A562" s="2">
        <v>561</v>
      </c>
      <c r="B562" s="3" t="s">
        <v>1128</v>
      </c>
      <c r="C562" s="2" t="s">
        <v>1129</v>
      </c>
      <c r="D562" s="2" t="s">
        <v>35</v>
      </c>
      <c r="E562" s="3" t="s">
        <v>1314</v>
      </c>
    </row>
    <row r="563" spans="1:5" x14ac:dyDescent="0.25">
      <c r="A563" s="2">
        <v>562</v>
      </c>
      <c r="B563" s="3" t="s">
        <v>1130</v>
      </c>
      <c r="C563" s="2" t="s">
        <v>1131</v>
      </c>
      <c r="D563" s="2" t="s">
        <v>35</v>
      </c>
      <c r="E563" s="3" t="s">
        <v>1311</v>
      </c>
    </row>
    <row r="564" spans="1:5" x14ac:dyDescent="0.25">
      <c r="A564" s="2">
        <v>563</v>
      </c>
      <c r="B564" s="3" t="s">
        <v>1132</v>
      </c>
      <c r="C564" s="2" t="s">
        <v>1133</v>
      </c>
      <c r="D564" s="2" t="s">
        <v>35</v>
      </c>
      <c r="E564" s="3" t="s">
        <v>1323</v>
      </c>
    </row>
    <row r="565" spans="1:5" x14ac:dyDescent="0.25">
      <c r="A565" s="2">
        <v>564</v>
      </c>
      <c r="B565" s="3" t="s">
        <v>1134</v>
      </c>
      <c r="C565" s="2" t="s">
        <v>1135</v>
      </c>
      <c r="D565" s="2" t="s">
        <v>35</v>
      </c>
      <c r="E565" s="3" t="s">
        <v>1324</v>
      </c>
    </row>
    <row r="566" spans="1:5" x14ac:dyDescent="0.25">
      <c r="A566" s="2">
        <v>565</v>
      </c>
      <c r="B566" s="3" t="s">
        <v>1136</v>
      </c>
      <c r="C566" s="2" t="s">
        <v>1137</v>
      </c>
      <c r="D566" s="2" t="s">
        <v>35</v>
      </c>
      <c r="E566" s="3" t="s">
        <v>1325</v>
      </c>
    </row>
    <row r="567" spans="1:5" x14ac:dyDescent="0.25">
      <c r="A567" s="2">
        <v>566</v>
      </c>
      <c r="B567" s="3" t="s">
        <v>1138</v>
      </c>
      <c r="C567" s="2" t="s">
        <v>1139</v>
      </c>
      <c r="D567" s="2" t="s">
        <v>35</v>
      </c>
      <c r="E567" s="3" t="s">
        <v>1326</v>
      </c>
    </row>
    <row r="568" spans="1:5" x14ac:dyDescent="0.25">
      <c r="A568" s="2">
        <v>567</v>
      </c>
      <c r="B568" s="3" t="s">
        <v>1140</v>
      </c>
      <c r="C568" s="2" t="s">
        <v>1141</v>
      </c>
      <c r="D568" s="2" t="s">
        <v>35</v>
      </c>
      <c r="E568" s="3" t="s">
        <v>1327</v>
      </c>
    </row>
    <row r="569" spans="1:5" x14ac:dyDescent="0.25">
      <c r="A569" s="2">
        <v>568</v>
      </c>
      <c r="B569" s="3" t="s">
        <v>1142</v>
      </c>
      <c r="C569" s="2" t="s">
        <v>1143</v>
      </c>
      <c r="D569" s="2" t="s">
        <v>35</v>
      </c>
      <c r="E569" s="3" t="s">
        <v>1328</v>
      </c>
    </row>
    <row r="570" spans="1:5" x14ac:dyDescent="0.25">
      <c r="A570" s="2">
        <v>569</v>
      </c>
      <c r="B570" s="3" t="s">
        <v>1144</v>
      </c>
      <c r="C570" s="2" t="s">
        <v>1145</v>
      </c>
      <c r="D570" s="2" t="s">
        <v>35</v>
      </c>
      <c r="E570" s="3" t="s">
        <v>1329</v>
      </c>
    </row>
    <row r="571" spans="1:5" x14ac:dyDescent="0.25">
      <c r="A571" s="2">
        <v>570</v>
      </c>
      <c r="B571" s="3" t="s">
        <v>1146</v>
      </c>
      <c r="C571" s="2" t="s">
        <v>1147</v>
      </c>
      <c r="D571" s="2" t="s">
        <v>35</v>
      </c>
      <c r="E571" s="3" t="s">
        <v>1330</v>
      </c>
    </row>
    <row r="572" spans="1:5" x14ac:dyDescent="0.25">
      <c r="A572" s="2">
        <v>571</v>
      </c>
      <c r="B572" s="3" t="s">
        <v>1148</v>
      </c>
      <c r="C572" s="2" t="s">
        <v>1149</v>
      </c>
      <c r="D572" s="2" t="s">
        <v>35</v>
      </c>
      <c r="E572" s="3" t="s">
        <v>1331</v>
      </c>
    </row>
    <row r="573" spans="1:5" x14ac:dyDescent="0.25">
      <c r="A573" s="2">
        <v>572</v>
      </c>
      <c r="B573" s="3" t="s">
        <v>1150</v>
      </c>
      <c r="C573" s="2" t="s">
        <v>1151</v>
      </c>
      <c r="D573" s="2" t="s">
        <v>35</v>
      </c>
      <c r="E573" s="3" t="s">
        <v>1332</v>
      </c>
    </row>
    <row r="574" spans="1:5" x14ac:dyDescent="0.25">
      <c r="A574" s="2">
        <v>573</v>
      </c>
      <c r="B574" s="3" t="s">
        <v>1152</v>
      </c>
      <c r="C574" s="2" t="s">
        <v>1153</v>
      </c>
      <c r="D574" s="2" t="s">
        <v>35</v>
      </c>
      <c r="E574" s="3" t="s">
        <v>1333</v>
      </c>
    </row>
    <row r="575" spans="1:5" x14ac:dyDescent="0.25">
      <c r="A575" s="2">
        <v>574</v>
      </c>
      <c r="B575" s="3" t="s">
        <v>1154</v>
      </c>
      <c r="C575" s="2" t="s">
        <v>1155</v>
      </c>
      <c r="D575" s="2" t="s">
        <v>35</v>
      </c>
      <c r="E575" s="3" t="s">
        <v>1334</v>
      </c>
    </row>
    <row r="576" spans="1:5" x14ac:dyDescent="0.25">
      <c r="A576" s="2">
        <v>575</v>
      </c>
      <c r="B576" s="3" t="s">
        <v>1156</v>
      </c>
      <c r="C576" s="2" t="s">
        <v>1157</v>
      </c>
      <c r="D576" s="2" t="s">
        <v>35</v>
      </c>
      <c r="E576" s="3" t="s">
        <v>1335</v>
      </c>
    </row>
    <row r="577" spans="1:5" x14ac:dyDescent="0.25">
      <c r="A577" s="2">
        <v>576</v>
      </c>
      <c r="B577" s="3" t="s">
        <v>1158</v>
      </c>
      <c r="C577" s="2" t="s">
        <v>1159</v>
      </c>
      <c r="D577" s="2" t="s">
        <v>35</v>
      </c>
      <c r="E577" s="3" t="s">
        <v>1336</v>
      </c>
    </row>
    <row r="578" spans="1:5" x14ac:dyDescent="0.25">
      <c r="A578" s="2">
        <v>577</v>
      </c>
      <c r="B578" s="3" t="s">
        <v>1160</v>
      </c>
      <c r="C578" s="2" t="s">
        <v>1161</v>
      </c>
      <c r="D578" s="2" t="s">
        <v>35</v>
      </c>
      <c r="E578" s="3" t="s">
        <v>1337</v>
      </c>
    </row>
    <row r="579" spans="1:5" x14ac:dyDescent="0.25">
      <c r="A579" s="2">
        <v>578</v>
      </c>
      <c r="B579" s="3" t="s">
        <v>1162</v>
      </c>
      <c r="C579" s="2" t="s">
        <v>1163</v>
      </c>
      <c r="D579" s="2" t="s">
        <v>35</v>
      </c>
      <c r="E579" s="3" t="s">
        <v>1338</v>
      </c>
    </row>
    <row r="580" spans="1:5" x14ac:dyDescent="0.25">
      <c r="A580" s="2">
        <v>579</v>
      </c>
      <c r="B580" s="3" t="s">
        <v>1164</v>
      </c>
      <c r="C580" s="2" t="s">
        <v>1165</v>
      </c>
      <c r="D580" s="2" t="s">
        <v>35</v>
      </c>
      <c r="E580" s="3" t="s">
        <v>1339</v>
      </c>
    </row>
    <row r="581" spans="1:5" x14ac:dyDescent="0.25">
      <c r="A581" s="2">
        <v>580</v>
      </c>
      <c r="B581" s="3" t="s">
        <v>1166</v>
      </c>
      <c r="C581" s="2" t="s">
        <v>1167</v>
      </c>
      <c r="D581" s="2" t="s">
        <v>35</v>
      </c>
      <c r="E581" s="3" t="s">
        <v>1340</v>
      </c>
    </row>
    <row r="582" spans="1:5" x14ac:dyDescent="0.25">
      <c r="A582" s="2">
        <v>581</v>
      </c>
      <c r="B582" s="3" t="s">
        <v>1168</v>
      </c>
      <c r="C582" s="2" t="s">
        <v>1169</v>
      </c>
      <c r="D582" s="2" t="s">
        <v>35</v>
      </c>
      <c r="E582" s="3" t="s">
        <v>1341</v>
      </c>
    </row>
    <row r="583" spans="1:5" x14ac:dyDescent="0.25">
      <c r="A583" s="2">
        <v>582</v>
      </c>
      <c r="B583" s="3" t="s">
        <v>1170</v>
      </c>
      <c r="C583" s="2" t="s">
        <v>1171</v>
      </c>
      <c r="D583" s="2" t="s">
        <v>35</v>
      </c>
      <c r="E583" s="3" t="s">
        <v>1342</v>
      </c>
    </row>
    <row r="584" spans="1:5" x14ac:dyDescent="0.25">
      <c r="A584" s="2">
        <v>583</v>
      </c>
      <c r="B584" s="3" t="s">
        <v>1172</v>
      </c>
      <c r="C584" s="2" t="s">
        <v>1173</v>
      </c>
      <c r="D584" s="2" t="s">
        <v>7</v>
      </c>
      <c r="E584" s="3" t="s">
        <v>1359</v>
      </c>
    </row>
    <row r="585" spans="1:5" x14ac:dyDescent="0.25">
      <c r="A585" s="2">
        <v>584</v>
      </c>
      <c r="B585" s="3" t="s">
        <v>1174</v>
      </c>
      <c r="C585" s="2" t="s">
        <v>1175</v>
      </c>
      <c r="D585" s="2" t="s">
        <v>7</v>
      </c>
      <c r="E585" s="3" t="s">
        <v>1360</v>
      </c>
    </row>
    <row r="586" spans="1:5" x14ac:dyDescent="0.25">
      <c r="A586" s="2">
        <v>585</v>
      </c>
      <c r="B586" s="3" t="s">
        <v>1176</v>
      </c>
      <c r="C586" s="2" t="s">
        <v>1177</v>
      </c>
      <c r="D586" s="2" t="s">
        <v>7</v>
      </c>
      <c r="E586" s="3" t="s">
        <v>1361</v>
      </c>
    </row>
    <row r="587" spans="1:5" x14ac:dyDescent="0.25">
      <c r="A587" s="2">
        <v>586</v>
      </c>
      <c r="B587" s="3" t="s">
        <v>1178</v>
      </c>
      <c r="C587" s="2" t="s">
        <v>1179</v>
      </c>
      <c r="D587" s="2" t="s">
        <v>7</v>
      </c>
      <c r="E587" s="3" t="s">
        <v>1362</v>
      </c>
    </row>
    <row r="588" spans="1:5" x14ac:dyDescent="0.25">
      <c r="A588" s="2">
        <v>587</v>
      </c>
      <c r="B588" s="3" t="s">
        <v>1180</v>
      </c>
      <c r="C588" s="2" t="s">
        <v>1181</v>
      </c>
      <c r="D588" s="2" t="s">
        <v>7</v>
      </c>
      <c r="E588" s="3" t="s">
        <v>1363</v>
      </c>
    </row>
    <row r="589" spans="1:5" x14ac:dyDescent="0.25">
      <c r="A589" s="2">
        <v>588</v>
      </c>
      <c r="B589" s="3" t="s">
        <v>1182</v>
      </c>
      <c r="C589" s="2" t="s">
        <v>1183</v>
      </c>
      <c r="D589" s="2" t="s">
        <v>7</v>
      </c>
      <c r="E589" s="3" t="s">
        <v>1364</v>
      </c>
    </row>
    <row r="590" spans="1:5" x14ac:dyDescent="0.25">
      <c r="A590" s="2">
        <v>589</v>
      </c>
      <c r="B590" s="3" t="s">
        <v>1184</v>
      </c>
      <c r="C590" s="2" t="s">
        <v>1185</v>
      </c>
      <c r="D590" s="2" t="s">
        <v>35</v>
      </c>
      <c r="E590" s="3" t="s">
        <v>1365</v>
      </c>
    </row>
    <row r="591" spans="1:5" x14ac:dyDescent="0.25">
      <c r="A591" s="2">
        <v>590</v>
      </c>
      <c r="B591" s="3" t="s">
        <v>1186</v>
      </c>
      <c r="C591" s="2" t="s">
        <v>1187</v>
      </c>
      <c r="D591" s="2" t="s">
        <v>35</v>
      </c>
      <c r="E591" s="3" t="s">
        <v>1366</v>
      </c>
    </row>
    <row r="592" spans="1:5" x14ac:dyDescent="0.25">
      <c r="A592" s="2">
        <v>591</v>
      </c>
      <c r="B592" s="3" t="s">
        <v>1188</v>
      </c>
      <c r="C592" s="2" t="s">
        <v>1189</v>
      </c>
      <c r="D592" s="2" t="s">
        <v>35</v>
      </c>
      <c r="E592" s="3" t="s">
        <v>1367</v>
      </c>
    </row>
    <row r="593" spans="1:5" x14ac:dyDescent="0.25">
      <c r="A593" s="2">
        <v>592</v>
      </c>
      <c r="B593" s="3" t="s">
        <v>1190</v>
      </c>
      <c r="C593" s="2" t="s">
        <v>1191</v>
      </c>
      <c r="D593" s="2" t="s">
        <v>35</v>
      </c>
      <c r="E593" s="3" t="s">
        <v>1368</v>
      </c>
    </row>
    <row r="594" spans="1:5" x14ac:dyDescent="0.25">
      <c r="A594" s="2">
        <v>593</v>
      </c>
      <c r="B594" s="3" t="s">
        <v>1192</v>
      </c>
      <c r="C594" s="2" t="s">
        <v>1193</v>
      </c>
      <c r="D594" s="2" t="s">
        <v>35</v>
      </c>
      <c r="E594" s="3" t="s">
        <v>1369</v>
      </c>
    </row>
    <row r="595" spans="1:5" x14ac:dyDescent="0.25">
      <c r="A595" s="2">
        <v>594</v>
      </c>
      <c r="B595" s="3" t="s">
        <v>1194</v>
      </c>
      <c r="C595" s="2" t="s">
        <v>1195</v>
      </c>
      <c r="D595" s="2" t="s">
        <v>35</v>
      </c>
      <c r="E595" s="3" t="s">
        <v>1370</v>
      </c>
    </row>
    <row r="596" spans="1:5" x14ac:dyDescent="0.25">
      <c r="A596" s="2">
        <v>595</v>
      </c>
      <c r="B596" s="3" t="s">
        <v>1196</v>
      </c>
      <c r="C596" s="2" t="s">
        <v>1197</v>
      </c>
      <c r="D596" s="2" t="s">
        <v>35</v>
      </c>
      <c r="E596" s="3" t="s">
        <v>1371</v>
      </c>
    </row>
    <row r="597" spans="1:5" x14ac:dyDescent="0.25">
      <c r="A597" s="2">
        <v>596</v>
      </c>
      <c r="B597" s="3" t="s">
        <v>1198</v>
      </c>
      <c r="C597" s="2" t="s">
        <v>1199</v>
      </c>
      <c r="D597" s="2" t="s">
        <v>35</v>
      </c>
      <c r="E597" s="3" t="s">
        <v>1372</v>
      </c>
    </row>
    <row r="598" spans="1:5" x14ac:dyDescent="0.25">
      <c r="A598" s="2">
        <v>597</v>
      </c>
      <c r="B598" s="3" t="s">
        <v>1200</v>
      </c>
      <c r="C598" s="2" t="s">
        <v>1201</v>
      </c>
      <c r="D598" s="2" t="s">
        <v>35</v>
      </c>
      <c r="E598" s="3" t="s">
        <v>1373</v>
      </c>
    </row>
    <row r="599" spans="1:5" x14ac:dyDescent="0.25">
      <c r="A599" s="2">
        <v>598</v>
      </c>
      <c r="B599" s="3" t="s">
        <v>1202</v>
      </c>
      <c r="C599" s="2" t="s">
        <v>1203</v>
      </c>
      <c r="D599" s="2" t="s">
        <v>35</v>
      </c>
      <c r="E599" s="3" t="s">
        <v>1374</v>
      </c>
    </row>
    <row r="600" spans="1:5" x14ac:dyDescent="0.25">
      <c r="A600" s="2">
        <v>599</v>
      </c>
      <c r="B600" s="3" t="s">
        <v>1204</v>
      </c>
      <c r="C600" s="2" t="s">
        <v>1205</v>
      </c>
      <c r="D600" s="2" t="s">
        <v>35</v>
      </c>
      <c r="E600" s="3" t="s">
        <v>1375</v>
      </c>
    </row>
    <row r="601" spans="1:5" x14ac:dyDescent="0.25">
      <c r="A601" s="2">
        <v>600</v>
      </c>
      <c r="B601" s="3" t="s">
        <v>1206</v>
      </c>
      <c r="C601" s="2" t="s">
        <v>1207</v>
      </c>
      <c r="D601" s="2" t="s">
        <v>24</v>
      </c>
      <c r="E601" s="3" t="s">
        <v>1376</v>
      </c>
    </row>
    <row r="602" spans="1:5" x14ac:dyDescent="0.25">
      <c r="A602" s="2">
        <v>601</v>
      </c>
      <c r="B602" s="3" t="s">
        <v>1208</v>
      </c>
      <c r="C602" s="2" t="s">
        <v>1209</v>
      </c>
      <c r="D602" s="2" t="s">
        <v>24</v>
      </c>
      <c r="E602" s="3" t="s">
        <v>1377</v>
      </c>
    </row>
    <row r="603" spans="1:5" x14ac:dyDescent="0.25">
      <c r="A603" s="2">
        <v>602</v>
      </c>
      <c r="B603" s="3" t="s">
        <v>1210</v>
      </c>
      <c r="C603" s="2" t="s">
        <v>1211</v>
      </c>
      <c r="D603" s="2" t="s">
        <v>24</v>
      </c>
      <c r="E603" s="3" t="s">
        <v>1378</v>
      </c>
    </row>
    <row r="604" spans="1:5" x14ac:dyDescent="0.25">
      <c r="A604" s="2">
        <v>603</v>
      </c>
      <c r="B604" s="3" t="s">
        <v>1212</v>
      </c>
      <c r="C604" s="2" t="s">
        <v>1213</v>
      </c>
      <c r="D604" s="2" t="s">
        <v>24</v>
      </c>
      <c r="E604" s="3" t="s">
        <v>1379</v>
      </c>
    </row>
    <row r="605" spans="1:5" x14ac:dyDescent="0.25">
      <c r="A605" s="2">
        <v>604</v>
      </c>
      <c r="B605" s="3" t="s">
        <v>1214</v>
      </c>
      <c r="C605" s="2" t="s">
        <v>1215</v>
      </c>
      <c r="D605" s="2" t="s">
        <v>24</v>
      </c>
      <c r="E605" s="3" t="s">
        <v>1380</v>
      </c>
    </row>
    <row r="606" spans="1:5" x14ac:dyDescent="0.25">
      <c r="A606" s="2">
        <v>605</v>
      </c>
      <c r="B606" s="3" t="s">
        <v>1216</v>
      </c>
      <c r="C606" s="2" t="s">
        <v>1217</v>
      </c>
      <c r="D606" s="2" t="s">
        <v>24</v>
      </c>
      <c r="E606" s="3" t="s">
        <v>1376</v>
      </c>
    </row>
    <row r="607" spans="1:5" x14ac:dyDescent="0.25">
      <c r="A607" s="2">
        <v>606</v>
      </c>
      <c r="B607" s="3" t="s">
        <v>1218</v>
      </c>
      <c r="C607" s="2" t="s">
        <v>1219</v>
      </c>
      <c r="D607" s="2" t="s">
        <v>24</v>
      </c>
      <c r="E607" s="3" t="s">
        <v>1377</v>
      </c>
    </row>
    <row r="608" spans="1:5" x14ac:dyDescent="0.25">
      <c r="A608" s="2">
        <v>607</v>
      </c>
      <c r="B608" s="3" t="s">
        <v>1220</v>
      </c>
      <c r="C608" s="2" t="s">
        <v>1221</v>
      </c>
      <c r="D608" s="2" t="s">
        <v>24</v>
      </c>
      <c r="E608" s="3" t="s">
        <v>1378</v>
      </c>
    </row>
    <row r="609" spans="1:5" x14ac:dyDescent="0.25">
      <c r="A609" s="2">
        <v>608</v>
      </c>
      <c r="B609" s="3" t="s">
        <v>1222</v>
      </c>
      <c r="C609" s="2" t="s">
        <v>1223</v>
      </c>
      <c r="D609" s="2" t="s">
        <v>24</v>
      </c>
      <c r="E609" s="3" t="s">
        <v>1379</v>
      </c>
    </row>
    <row r="610" spans="1:5" x14ac:dyDescent="0.25">
      <c r="A610" s="2">
        <v>609</v>
      </c>
      <c r="B610" s="3" t="s">
        <v>1224</v>
      </c>
      <c r="C610" s="2" t="s">
        <v>1225</v>
      </c>
      <c r="D610" s="2" t="s">
        <v>24</v>
      </c>
      <c r="E610" s="3" t="s">
        <v>1380</v>
      </c>
    </row>
    <row r="611" spans="1:5" x14ac:dyDescent="0.25">
      <c r="A611" s="2">
        <v>610</v>
      </c>
      <c r="B611" s="3" t="s">
        <v>1226</v>
      </c>
      <c r="C611" s="2" t="s">
        <v>1227</v>
      </c>
      <c r="D611" s="2" t="s">
        <v>24</v>
      </c>
      <c r="E611" s="3" t="s">
        <v>1376</v>
      </c>
    </row>
    <row r="612" spans="1:5" x14ac:dyDescent="0.25">
      <c r="A612" s="2">
        <v>611</v>
      </c>
      <c r="B612" s="3" t="s">
        <v>1228</v>
      </c>
      <c r="C612" s="2" t="s">
        <v>1229</v>
      </c>
      <c r="D612" s="2" t="s">
        <v>24</v>
      </c>
      <c r="E612" s="3" t="s">
        <v>1377</v>
      </c>
    </row>
    <row r="613" spans="1:5" x14ac:dyDescent="0.25">
      <c r="A613" s="2">
        <v>612</v>
      </c>
      <c r="B613" s="3" t="s">
        <v>1230</v>
      </c>
      <c r="C613" s="2" t="s">
        <v>1231</v>
      </c>
      <c r="D613" s="2" t="s">
        <v>24</v>
      </c>
      <c r="E613" s="3" t="s">
        <v>1378</v>
      </c>
    </row>
    <row r="614" spans="1:5" x14ac:dyDescent="0.25">
      <c r="A614" s="2">
        <v>613</v>
      </c>
      <c r="B614" s="3" t="s">
        <v>1232</v>
      </c>
      <c r="C614" s="2" t="s">
        <v>1233</v>
      </c>
      <c r="D614" s="2" t="s">
        <v>24</v>
      </c>
      <c r="E614" s="3" t="s">
        <v>1379</v>
      </c>
    </row>
    <row r="615" spans="1:5" x14ac:dyDescent="0.25">
      <c r="A615" s="2">
        <v>614</v>
      </c>
      <c r="B615" s="3" t="s">
        <v>1234</v>
      </c>
      <c r="C615" s="2" t="s">
        <v>1235</v>
      </c>
      <c r="D615" s="2" t="s">
        <v>24</v>
      </c>
      <c r="E615" s="3" t="s">
        <v>1380</v>
      </c>
    </row>
    <row r="616" spans="1:5" x14ac:dyDescent="0.25">
      <c r="A616" s="2">
        <v>615</v>
      </c>
      <c r="B616" s="3" t="s">
        <v>1236</v>
      </c>
      <c r="C616" s="2" t="s">
        <v>1237</v>
      </c>
      <c r="D616" s="2" t="s">
        <v>24</v>
      </c>
      <c r="E616" s="3" t="s">
        <v>1376</v>
      </c>
    </row>
    <row r="617" spans="1:5" x14ac:dyDescent="0.25">
      <c r="A617" s="2">
        <v>616</v>
      </c>
      <c r="B617" s="3" t="s">
        <v>1238</v>
      </c>
      <c r="C617" s="2" t="s">
        <v>1239</v>
      </c>
      <c r="D617" s="2" t="s">
        <v>24</v>
      </c>
      <c r="E617" s="3" t="s">
        <v>1377</v>
      </c>
    </row>
    <row r="618" spans="1:5" x14ac:dyDescent="0.25">
      <c r="A618" s="2">
        <v>617</v>
      </c>
      <c r="B618" s="3" t="s">
        <v>1240</v>
      </c>
      <c r="C618" s="2" t="s">
        <v>1241</v>
      </c>
      <c r="D618" s="2" t="s">
        <v>24</v>
      </c>
      <c r="E618" s="3" t="s">
        <v>1378</v>
      </c>
    </row>
    <row r="619" spans="1:5" x14ac:dyDescent="0.25">
      <c r="A619" s="2">
        <v>618</v>
      </c>
      <c r="B619" s="3" t="s">
        <v>1242</v>
      </c>
      <c r="C619" s="2" t="s">
        <v>1243</v>
      </c>
      <c r="D619" s="2" t="s">
        <v>24</v>
      </c>
      <c r="E619" s="3" t="s">
        <v>1379</v>
      </c>
    </row>
    <row r="620" spans="1:5" x14ac:dyDescent="0.25">
      <c r="A620" s="2">
        <v>619</v>
      </c>
      <c r="B620" s="3" t="s">
        <v>1244</v>
      </c>
      <c r="C620" s="2" t="s">
        <v>1245</v>
      </c>
      <c r="D620" s="2" t="s">
        <v>24</v>
      </c>
      <c r="E620" s="3" t="s">
        <v>1380</v>
      </c>
    </row>
    <row r="621" spans="1:5" x14ac:dyDescent="0.25">
      <c r="A621" s="2">
        <v>620</v>
      </c>
      <c r="B621" s="3" t="s">
        <v>1246</v>
      </c>
      <c r="C621" s="2" t="s">
        <v>1247</v>
      </c>
      <c r="D621" s="2" t="s">
        <v>24</v>
      </c>
      <c r="E621" s="3" t="s">
        <v>1376</v>
      </c>
    </row>
    <row r="622" spans="1:5" x14ac:dyDescent="0.25">
      <c r="A622" s="2">
        <v>621</v>
      </c>
      <c r="B622" s="3" t="s">
        <v>1248</v>
      </c>
      <c r="C622" s="2" t="s">
        <v>1249</v>
      </c>
      <c r="D622" s="2" t="s">
        <v>24</v>
      </c>
      <c r="E622" s="3" t="s">
        <v>1377</v>
      </c>
    </row>
    <row r="623" spans="1:5" x14ac:dyDescent="0.25">
      <c r="A623" s="2">
        <v>622</v>
      </c>
      <c r="B623" s="3" t="s">
        <v>1250</v>
      </c>
      <c r="C623" s="2" t="s">
        <v>1251</v>
      </c>
      <c r="D623" s="2" t="s">
        <v>24</v>
      </c>
      <c r="E623" s="3" t="s">
        <v>1378</v>
      </c>
    </row>
    <row r="624" spans="1:5" x14ac:dyDescent="0.25">
      <c r="A624" s="2">
        <v>623</v>
      </c>
      <c r="B624" s="3" t="s">
        <v>1252</v>
      </c>
      <c r="C624" s="2" t="s">
        <v>1253</v>
      </c>
      <c r="D624" s="2" t="s">
        <v>24</v>
      </c>
      <c r="E624" s="3" t="s">
        <v>1379</v>
      </c>
    </row>
    <row r="625" spans="1:5" x14ac:dyDescent="0.25">
      <c r="A625" s="2">
        <v>624</v>
      </c>
      <c r="B625" s="3" t="s">
        <v>1254</v>
      </c>
      <c r="C625" s="2" t="s">
        <v>1255</v>
      </c>
      <c r="D625" s="2" t="s">
        <v>24</v>
      </c>
      <c r="E625" s="3" t="s">
        <v>1380</v>
      </c>
    </row>
    <row r="626" spans="1:5" x14ac:dyDescent="0.25">
      <c r="A626" s="2">
        <v>625</v>
      </c>
      <c r="B626" s="3" t="s">
        <v>1256</v>
      </c>
      <c r="C626" s="2" t="s">
        <v>1257</v>
      </c>
      <c r="D626" s="2" t="s">
        <v>24</v>
      </c>
      <c r="E626" s="3" t="s">
        <v>1376</v>
      </c>
    </row>
    <row r="627" spans="1:5" x14ac:dyDescent="0.25">
      <c r="A627" s="2">
        <v>626</v>
      </c>
      <c r="B627" s="3" t="s">
        <v>1258</v>
      </c>
      <c r="C627" s="2" t="s">
        <v>1259</v>
      </c>
      <c r="D627" s="2" t="s">
        <v>24</v>
      </c>
      <c r="E627" s="3" t="s">
        <v>1377</v>
      </c>
    </row>
    <row r="628" spans="1:5" x14ac:dyDescent="0.25">
      <c r="A628" s="2">
        <v>627</v>
      </c>
      <c r="B628" s="3" t="s">
        <v>1260</v>
      </c>
      <c r="C628" s="2" t="s">
        <v>1261</v>
      </c>
      <c r="D628" s="2" t="s">
        <v>24</v>
      </c>
      <c r="E628" s="3" t="s">
        <v>1378</v>
      </c>
    </row>
    <row r="629" spans="1:5" x14ac:dyDescent="0.25">
      <c r="A629" s="2">
        <v>628</v>
      </c>
      <c r="B629" s="3" t="s">
        <v>1262</v>
      </c>
      <c r="C629" s="2" t="s">
        <v>1263</v>
      </c>
      <c r="D629" s="2" t="s">
        <v>24</v>
      </c>
      <c r="E629" s="3" t="s">
        <v>1379</v>
      </c>
    </row>
    <row r="630" spans="1:5" x14ac:dyDescent="0.25">
      <c r="A630" s="2">
        <v>629</v>
      </c>
      <c r="B630" s="3" t="s">
        <v>1264</v>
      </c>
      <c r="C630" s="2" t="s">
        <v>1265</v>
      </c>
      <c r="D630" s="2" t="s">
        <v>24</v>
      </c>
      <c r="E630" s="3" t="s">
        <v>1380</v>
      </c>
    </row>
    <row r="631" spans="1:5" x14ac:dyDescent="0.25">
      <c r="A631" s="2">
        <v>630</v>
      </c>
      <c r="B631" s="3" t="s">
        <v>1266</v>
      </c>
      <c r="C631" s="2" t="s">
        <v>1267</v>
      </c>
      <c r="D631" s="2" t="s">
        <v>24</v>
      </c>
      <c r="E631" s="3" t="s">
        <v>1376</v>
      </c>
    </row>
    <row r="632" spans="1:5" x14ac:dyDescent="0.25">
      <c r="A632" s="2">
        <v>631</v>
      </c>
      <c r="B632" s="3" t="s">
        <v>1268</v>
      </c>
      <c r="C632" s="2" t="s">
        <v>1269</v>
      </c>
      <c r="D632" s="2" t="s">
        <v>24</v>
      </c>
      <c r="E632" s="3" t="s">
        <v>1377</v>
      </c>
    </row>
    <row r="633" spans="1:5" x14ac:dyDescent="0.25">
      <c r="A633" s="2">
        <v>632</v>
      </c>
      <c r="B633" s="3" t="s">
        <v>1270</v>
      </c>
      <c r="C633" s="2" t="s">
        <v>1271</v>
      </c>
      <c r="D633" s="2" t="s">
        <v>24</v>
      </c>
      <c r="E633" s="3" t="s">
        <v>1378</v>
      </c>
    </row>
    <row r="634" spans="1:5" x14ac:dyDescent="0.25">
      <c r="A634" s="2">
        <v>633</v>
      </c>
      <c r="B634" s="3" t="s">
        <v>1272</v>
      </c>
      <c r="C634" s="2" t="s">
        <v>1273</v>
      </c>
      <c r="D634" s="2" t="s">
        <v>24</v>
      </c>
      <c r="E634" s="3" t="s">
        <v>1379</v>
      </c>
    </row>
    <row r="635" spans="1:5" x14ac:dyDescent="0.25">
      <c r="A635" s="2">
        <v>634</v>
      </c>
      <c r="B635" s="3" t="s">
        <v>1274</v>
      </c>
      <c r="C635" s="2" t="s">
        <v>1275</v>
      </c>
      <c r="D635" s="2" t="s">
        <v>24</v>
      </c>
      <c r="E635" s="3" t="s">
        <v>1380</v>
      </c>
    </row>
    <row r="636" spans="1:5" x14ac:dyDescent="0.25">
      <c r="A636" s="2">
        <v>635</v>
      </c>
      <c r="B636" s="3" t="s">
        <v>1276</v>
      </c>
      <c r="C636" s="2" t="s">
        <v>1277</v>
      </c>
      <c r="D636" s="2" t="s">
        <v>24</v>
      </c>
      <c r="E636" s="3" t="s">
        <v>1376</v>
      </c>
    </row>
    <row r="637" spans="1:5" x14ac:dyDescent="0.25">
      <c r="A637" s="2">
        <v>636</v>
      </c>
      <c r="B637" s="3" t="s">
        <v>1278</v>
      </c>
      <c r="C637" s="2" t="s">
        <v>1279</v>
      </c>
      <c r="D637" s="2" t="s">
        <v>24</v>
      </c>
      <c r="E637" s="3" t="s">
        <v>1377</v>
      </c>
    </row>
    <row r="638" spans="1:5" x14ac:dyDescent="0.25">
      <c r="A638" s="2">
        <v>637</v>
      </c>
      <c r="B638" s="3" t="s">
        <v>1280</v>
      </c>
      <c r="C638" s="2" t="s">
        <v>1281</v>
      </c>
      <c r="D638" s="2" t="s">
        <v>24</v>
      </c>
      <c r="E638" s="3" t="s">
        <v>1378</v>
      </c>
    </row>
    <row r="639" spans="1:5" x14ac:dyDescent="0.25">
      <c r="A639" s="2">
        <v>638</v>
      </c>
      <c r="B639" s="3" t="s">
        <v>1282</v>
      </c>
      <c r="C639" s="2" t="s">
        <v>1283</v>
      </c>
      <c r="D639" s="2" t="s">
        <v>24</v>
      </c>
      <c r="E639" s="3" t="s">
        <v>1379</v>
      </c>
    </row>
    <row r="640" spans="1:5" x14ac:dyDescent="0.25">
      <c r="A640" s="2">
        <v>639</v>
      </c>
      <c r="B640" s="3" t="s">
        <v>1284</v>
      </c>
      <c r="C640" s="2" t="s">
        <v>1285</v>
      </c>
      <c r="D640" s="2" t="s">
        <v>24</v>
      </c>
      <c r="E640" s="3" t="s">
        <v>1380</v>
      </c>
    </row>
    <row r="641" spans="1:5" x14ac:dyDescent="0.25">
      <c r="A641" s="2">
        <v>640</v>
      </c>
      <c r="B641" s="3" t="s">
        <v>1286</v>
      </c>
      <c r="C641" s="2" t="s">
        <v>1287</v>
      </c>
      <c r="D641" s="2" t="s">
        <v>24</v>
      </c>
      <c r="E641" s="3" t="s">
        <v>1376</v>
      </c>
    </row>
    <row r="642" spans="1:5" x14ac:dyDescent="0.25">
      <c r="A642" s="2">
        <v>641</v>
      </c>
      <c r="B642" s="3" t="s">
        <v>1288</v>
      </c>
      <c r="C642" s="2" t="s">
        <v>1289</v>
      </c>
      <c r="D642" s="2" t="s">
        <v>24</v>
      </c>
      <c r="E642" s="3" t="s">
        <v>1377</v>
      </c>
    </row>
    <row r="643" spans="1:5" x14ac:dyDescent="0.25">
      <c r="A643" s="2">
        <v>642</v>
      </c>
      <c r="B643" s="3" t="s">
        <v>1290</v>
      </c>
      <c r="C643" s="2" t="s">
        <v>1291</v>
      </c>
      <c r="D643" s="2" t="s">
        <v>24</v>
      </c>
      <c r="E643" s="3" t="s">
        <v>1378</v>
      </c>
    </row>
    <row r="644" spans="1:5" x14ac:dyDescent="0.25">
      <c r="A644" s="2">
        <v>643</v>
      </c>
      <c r="B644" s="3" t="s">
        <v>1292</v>
      </c>
      <c r="C644" s="2" t="s">
        <v>1293</v>
      </c>
      <c r="D644" s="2" t="s">
        <v>24</v>
      </c>
      <c r="E644" s="3" t="s">
        <v>1379</v>
      </c>
    </row>
    <row r="645" spans="1:5" x14ac:dyDescent="0.25">
      <c r="A645" s="2">
        <v>644</v>
      </c>
      <c r="B645" s="3" t="s">
        <v>1294</v>
      </c>
      <c r="C645" s="2" t="s">
        <v>1295</v>
      </c>
      <c r="D645" s="2" t="s">
        <v>24</v>
      </c>
      <c r="E645" s="3" t="s">
        <v>1380</v>
      </c>
    </row>
    <row r="646" spans="1:5" x14ac:dyDescent="0.25">
      <c r="A646" s="2">
        <v>645</v>
      </c>
      <c r="B646" s="3" t="s">
        <v>1296</v>
      </c>
      <c r="C646" s="2" t="s">
        <v>1297</v>
      </c>
      <c r="D646" s="2" t="s">
        <v>24</v>
      </c>
      <c r="E646" s="3" t="s">
        <v>1376</v>
      </c>
    </row>
    <row r="647" spans="1:5" x14ac:dyDescent="0.25">
      <c r="A647" s="2">
        <v>646</v>
      </c>
      <c r="B647" s="3" t="s">
        <v>1298</v>
      </c>
      <c r="C647" s="2" t="s">
        <v>1299</v>
      </c>
      <c r="D647" s="2" t="s">
        <v>24</v>
      </c>
      <c r="E647" s="3" t="s">
        <v>1377</v>
      </c>
    </row>
    <row r="648" spans="1:5" x14ac:dyDescent="0.25">
      <c r="A648" s="2">
        <v>647</v>
      </c>
      <c r="B648" s="3" t="s">
        <v>1300</v>
      </c>
      <c r="C648" s="2" t="s">
        <v>1301</v>
      </c>
      <c r="D648" s="2" t="s">
        <v>24</v>
      </c>
      <c r="E648" s="3" t="s">
        <v>1378</v>
      </c>
    </row>
    <row r="649" spans="1:5" x14ac:dyDescent="0.25">
      <c r="A649" s="2">
        <v>648</v>
      </c>
      <c r="B649" s="3" t="s">
        <v>1302</v>
      </c>
      <c r="C649" s="2" t="s">
        <v>1303</v>
      </c>
      <c r="D649" s="2" t="s">
        <v>24</v>
      </c>
      <c r="E649" s="3" t="s">
        <v>1379</v>
      </c>
    </row>
    <row r="650" spans="1:5" x14ac:dyDescent="0.25">
      <c r="A650" s="2">
        <v>649</v>
      </c>
      <c r="B650" s="3" t="s">
        <v>1304</v>
      </c>
      <c r="C650" s="2" t="s">
        <v>1305</v>
      </c>
      <c r="D650" s="2" t="s">
        <v>24</v>
      </c>
      <c r="E650" s="3" t="s">
        <v>1380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39868-8729-4F82-BF16-59760A4E2BEE}">
  <dimension ref="A1:R688"/>
  <sheetViews>
    <sheetView workbookViewId="0">
      <pane ySplit="3" topLeftCell="A4" activePane="bottomLeft" state="frozen"/>
      <selection pane="bottomLeft" activeCell="J20" sqref="J20"/>
    </sheetView>
  </sheetViews>
  <sheetFormatPr defaultRowHeight="15" x14ac:dyDescent="0.25"/>
  <cols>
    <col min="1" max="1" width="4.7109375" style="1" customWidth="1"/>
    <col min="2" max="2" width="34" customWidth="1"/>
    <col min="3" max="3" width="16" style="1" customWidth="1"/>
    <col min="4" max="4" width="11.42578125" style="1" customWidth="1"/>
    <col min="5" max="5" width="36.42578125" customWidth="1"/>
    <col min="9" max="9" width="19.28515625" customWidth="1"/>
    <col min="10" max="10" width="20.85546875" customWidth="1"/>
    <col min="13" max="13" width="13.85546875" customWidth="1"/>
    <col min="14" max="14" width="12.85546875" customWidth="1"/>
    <col min="15" max="15" width="23" customWidth="1"/>
  </cols>
  <sheetData>
    <row r="1" spans="1:18" x14ac:dyDescent="0.25">
      <c r="F1" s="6" t="s">
        <v>1382</v>
      </c>
    </row>
    <row r="2" spans="1:18" x14ac:dyDescent="0.25">
      <c r="A2" s="5" t="s">
        <v>1</v>
      </c>
      <c r="B2" s="5" t="s">
        <v>0</v>
      </c>
      <c r="C2" s="5" t="s">
        <v>2</v>
      </c>
      <c r="D2" s="5" t="s">
        <v>3</v>
      </c>
      <c r="E2" s="5" t="s">
        <v>4</v>
      </c>
      <c r="G2" s="6" t="s">
        <v>1383</v>
      </c>
      <c r="H2" s="6" t="s">
        <v>1384</v>
      </c>
      <c r="I2" s="6" t="s">
        <v>1387</v>
      </c>
      <c r="J2" s="6" t="s">
        <v>0</v>
      </c>
      <c r="K2" s="6"/>
      <c r="L2" s="6" t="s">
        <v>1388</v>
      </c>
      <c r="M2" s="21" t="s">
        <v>1389</v>
      </c>
      <c r="N2" s="22"/>
      <c r="O2" s="22"/>
      <c r="P2" s="22"/>
      <c r="Q2" s="8" t="s">
        <v>1390</v>
      </c>
      <c r="R2" s="8" t="s">
        <v>1391</v>
      </c>
    </row>
    <row r="3" spans="1:18" x14ac:dyDescent="0.25">
      <c r="A3" s="4" t="s">
        <v>1381</v>
      </c>
      <c r="B3" s="4"/>
      <c r="C3" s="4"/>
      <c r="D3" s="4"/>
      <c r="E3" s="4"/>
      <c r="G3" t="s">
        <v>1385</v>
      </c>
      <c r="H3" t="s">
        <v>1386</v>
      </c>
      <c r="M3" t="s">
        <v>1394</v>
      </c>
      <c r="N3" t="s">
        <v>1395</v>
      </c>
      <c r="O3" t="s">
        <v>1396</v>
      </c>
      <c r="P3" t="s">
        <v>1398</v>
      </c>
    </row>
    <row r="4" spans="1:18" x14ac:dyDescent="0.25">
      <c r="A4" s="2">
        <v>1</v>
      </c>
      <c r="B4" s="3" t="s">
        <v>5</v>
      </c>
      <c r="C4" s="2" t="s">
        <v>6</v>
      </c>
      <c r="D4" s="2" t="s">
        <v>7</v>
      </c>
      <c r="E4" s="3" t="s">
        <v>1355</v>
      </c>
      <c r="I4" s="7" t="str">
        <f>LEFT(B4, SEARCH("_",B4 ) - 1)</f>
        <v>Pump1</v>
      </c>
      <c r="J4" t="str">
        <f>RIGHT(B4,LEN(B4)-6)</f>
        <v>FB_auto</v>
      </c>
    </row>
    <row r="5" spans="1:18" x14ac:dyDescent="0.25">
      <c r="A5" s="2">
        <v>2</v>
      </c>
      <c r="B5" s="3" t="s">
        <v>8</v>
      </c>
      <c r="C5" s="2" t="s">
        <v>9</v>
      </c>
      <c r="D5" s="2" t="s">
        <v>7</v>
      </c>
      <c r="E5" s="3" t="s">
        <v>1306</v>
      </c>
      <c r="I5" s="7" t="str">
        <f t="shared" ref="I5:I70" si="0">LEFT(B5, SEARCH("_",B5 ) - 1)</f>
        <v>Pump1</v>
      </c>
      <c r="J5" t="str">
        <f t="shared" ref="J5:J10" si="1">RIGHT(B5,LEN(B5)-6)</f>
        <v>FB_Run</v>
      </c>
      <c r="L5" s="9"/>
      <c r="M5" t="s">
        <v>1397</v>
      </c>
      <c r="N5" t="s">
        <v>1397</v>
      </c>
      <c r="O5" t="s">
        <v>1397</v>
      </c>
    </row>
    <row r="6" spans="1:18" x14ac:dyDescent="0.25">
      <c r="A6" s="2">
        <v>3</v>
      </c>
      <c r="B6" s="3" t="s">
        <v>10</v>
      </c>
      <c r="C6" s="2" t="s">
        <v>11</v>
      </c>
      <c r="D6" s="2" t="s">
        <v>7</v>
      </c>
      <c r="E6" s="3" t="s">
        <v>1307</v>
      </c>
      <c r="I6" s="7" t="str">
        <f t="shared" si="0"/>
        <v>Pump1</v>
      </c>
      <c r="J6" t="str">
        <f t="shared" si="1"/>
        <v>FB_Fault_V</v>
      </c>
      <c r="P6" t="s">
        <v>1397</v>
      </c>
    </row>
    <row r="7" spans="1:18" x14ac:dyDescent="0.25">
      <c r="A7" s="2">
        <v>4</v>
      </c>
      <c r="B7" s="3" t="s">
        <v>12</v>
      </c>
      <c r="C7" s="2" t="s">
        <v>13</v>
      </c>
      <c r="D7" s="2" t="s">
        <v>7</v>
      </c>
      <c r="E7" s="3" t="s">
        <v>1307</v>
      </c>
      <c r="I7" s="7" t="str">
        <f t="shared" si="0"/>
        <v>Pump1</v>
      </c>
      <c r="J7" t="str">
        <f t="shared" si="1"/>
        <v>FB_Fault_SS</v>
      </c>
      <c r="M7" t="s">
        <v>1397</v>
      </c>
      <c r="P7" t="s">
        <v>1397</v>
      </c>
    </row>
    <row r="8" spans="1:18" x14ac:dyDescent="0.25">
      <c r="A8" s="2">
        <v>5</v>
      </c>
      <c r="B8" s="3" t="s">
        <v>14</v>
      </c>
      <c r="C8" s="2" t="s">
        <v>15</v>
      </c>
      <c r="D8" s="2" t="s">
        <v>7</v>
      </c>
      <c r="E8" s="3" t="s">
        <v>1356</v>
      </c>
      <c r="I8" s="7" t="str">
        <f t="shared" si="0"/>
        <v>Pump1</v>
      </c>
      <c r="J8" t="str">
        <f t="shared" si="1"/>
        <v>FB_Fault_Temp</v>
      </c>
      <c r="P8" t="s">
        <v>1397</v>
      </c>
    </row>
    <row r="9" spans="1:18" x14ac:dyDescent="0.25">
      <c r="A9" s="2">
        <v>6</v>
      </c>
      <c r="B9" s="3" t="s">
        <v>16</v>
      </c>
      <c r="C9" s="2" t="s">
        <v>17</v>
      </c>
      <c r="D9" s="2" t="s">
        <v>7</v>
      </c>
      <c r="E9" s="3" t="s">
        <v>1307</v>
      </c>
      <c r="I9" s="7" t="str">
        <f t="shared" si="0"/>
        <v>Pump1</v>
      </c>
      <c r="J9" t="str">
        <f t="shared" si="1"/>
        <v>FB_Fault_Curent</v>
      </c>
      <c r="P9" t="s">
        <v>1397</v>
      </c>
    </row>
    <row r="10" spans="1:18" x14ac:dyDescent="0.25">
      <c r="A10" s="2">
        <v>7</v>
      </c>
      <c r="B10" s="3" t="s">
        <v>18</v>
      </c>
      <c r="C10" s="2" t="s">
        <v>19</v>
      </c>
      <c r="D10" s="2" t="s">
        <v>7</v>
      </c>
      <c r="E10" s="3" t="s">
        <v>1357</v>
      </c>
      <c r="I10" s="7" t="str">
        <f t="shared" si="0"/>
        <v>Pump1</v>
      </c>
      <c r="J10" t="str">
        <f t="shared" si="1"/>
        <v>Clock_1m</v>
      </c>
    </row>
    <row r="11" spans="1:18" x14ac:dyDescent="0.25">
      <c r="A11" s="2">
        <v>8</v>
      </c>
      <c r="B11" s="3" t="s">
        <v>20</v>
      </c>
      <c r="C11" s="2" t="s">
        <v>21</v>
      </c>
      <c r="D11" s="2" t="s">
        <v>7</v>
      </c>
      <c r="E11" s="3" t="s">
        <v>1358</v>
      </c>
      <c r="I11" s="7" t="str">
        <f t="shared" si="0"/>
        <v>Pump1</v>
      </c>
      <c r="J11" s="7" t="str">
        <f t="shared" ref="J11:J75" si="2">RIGHT(B11, LEN(B11)-SEARCH("_",B11 ))</f>
        <v>FB_stop</v>
      </c>
      <c r="L11" s="10"/>
      <c r="M11" t="s">
        <v>1397</v>
      </c>
      <c r="N11" t="s">
        <v>1397</v>
      </c>
      <c r="O11" t="s">
        <v>1397</v>
      </c>
    </row>
    <row r="12" spans="1:18" x14ac:dyDescent="0.25">
      <c r="A12" s="2">
        <v>8</v>
      </c>
      <c r="B12" s="12" t="s">
        <v>1392</v>
      </c>
      <c r="C12" s="2" t="s">
        <v>21</v>
      </c>
      <c r="D12" s="2" t="s">
        <v>7</v>
      </c>
      <c r="E12" s="3" t="s">
        <v>1393</v>
      </c>
      <c r="I12" s="7" t="str">
        <f t="shared" ref="I12" si="3">LEFT(B12, SEARCH("_",B12 ) - 1)</f>
        <v>Pump1</v>
      </c>
      <c r="J12" s="7" t="str">
        <f t="shared" si="2"/>
        <v>FB_maintenance</v>
      </c>
      <c r="L12" s="13"/>
      <c r="M12" t="s">
        <v>1397</v>
      </c>
      <c r="N12" t="s">
        <v>1397</v>
      </c>
      <c r="O12" t="s">
        <v>1397</v>
      </c>
    </row>
    <row r="13" spans="1:18" x14ac:dyDescent="0.25">
      <c r="A13" s="2">
        <v>9</v>
      </c>
      <c r="B13" s="3" t="s">
        <v>22</v>
      </c>
      <c r="C13" s="2" t="s">
        <v>23</v>
      </c>
      <c r="D13" s="2" t="s">
        <v>24</v>
      </c>
      <c r="E13" s="3" t="s">
        <v>1352</v>
      </c>
      <c r="I13" s="7" t="str">
        <f t="shared" si="0"/>
        <v>Pump1</v>
      </c>
      <c r="J13" s="7" t="str">
        <f t="shared" si="2"/>
        <v>FB_Temp_DEBearing</v>
      </c>
      <c r="O13" t="s">
        <v>1399</v>
      </c>
      <c r="Q13" t="s">
        <v>1424</v>
      </c>
      <c r="R13" t="s">
        <v>1424</v>
      </c>
    </row>
    <row r="14" spans="1:18" x14ac:dyDescent="0.25">
      <c r="A14" s="2">
        <v>10</v>
      </c>
      <c r="B14" s="3" t="s">
        <v>25</v>
      </c>
      <c r="C14" s="2" t="s">
        <v>26</v>
      </c>
      <c r="D14" s="2" t="s">
        <v>24</v>
      </c>
      <c r="E14" s="3" t="s">
        <v>1353</v>
      </c>
      <c r="I14" s="7" t="str">
        <f t="shared" si="0"/>
        <v>Pump1</v>
      </c>
      <c r="J14" s="7" t="str">
        <f t="shared" si="2"/>
        <v>FB_Temp_NDEBearing</v>
      </c>
      <c r="O14" t="s">
        <v>1400</v>
      </c>
      <c r="Q14" t="s">
        <v>1425</v>
      </c>
      <c r="R14" t="s">
        <v>1425</v>
      </c>
    </row>
    <row r="15" spans="1:18" x14ac:dyDescent="0.25">
      <c r="A15" s="2">
        <v>11</v>
      </c>
      <c r="B15" s="3" t="s">
        <v>27</v>
      </c>
      <c r="C15" s="2" t="s">
        <v>28</v>
      </c>
      <c r="D15" s="2" t="s">
        <v>24</v>
      </c>
      <c r="E15" s="3" t="s">
        <v>1308</v>
      </c>
      <c r="I15" s="7" t="str">
        <f t="shared" si="0"/>
        <v>Pump1</v>
      </c>
      <c r="J15" s="7" t="str">
        <f t="shared" si="2"/>
        <v>FB_Temp_PhaseA</v>
      </c>
      <c r="O15" t="s">
        <v>1401</v>
      </c>
      <c r="Q15" t="s">
        <v>1426</v>
      </c>
      <c r="R15" t="s">
        <v>1426</v>
      </c>
    </row>
    <row r="16" spans="1:18" x14ac:dyDescent="0.25">
      <c r="A16" s="2">
        <v>12</v>
      </c>
      <c r="B16" s="3" t="s">
        <v>29</v>
      </c>
      <c r="C16" s="2" t="s">
        <v>30</v>
      </c>
      <c r="D16" s="2" t="s">
        <v>24</v>
      </c>
      <c r="E16" s="3" t="s">
        <v>1309</v>
      </c>
      <c r="I16" s="7" t="str">
        <f t="shared" si="0"/>
        <v>Pump1</v>
      </c>
      <c r="J16" s="7" t="str">
        <f t="shared" si="2"/>
        <v>FB_Temp_PhaseB</v>
      </c>
      <c r="O16" t="s">
        <v>1402</v>
      </c>
      <c r="Q16" t="s">
        <v>1427</v>
      </c>
      <c r="R16" t="s">
        <v>1427</v>
      </c>
    </row>
    <row r="17" spans="1:18" x14ac:dyDescent="0.25">
      <c r="A17" s="2">
        <v>13</v>
      </c>
      <c r="B17" s="3" t="s">
        <v>31</v>
      </c>
      <c r="C17" s="2" t="s">
        <v>32</v>
      </c>
      <c r="D17" s="2" t="s">
        <v>24</v>
      </c>
      <c r="E17" s="3" t="s">
        <v>1310</v>
      </c>
      <c r="I17" s="7" t="str">
        <f t="shared" si="0"/>
        <v>Pump1</v>
      </c>
      <c r="J17" s="7" t="str">
        <f t="shared" si="2"/>
        <v>FB_Temp_PhaseC</v>
      </c>
      <c r="O17" t="s">
        <v>1403</v>
      </c>
      <c r="Q17" t="s">
        <v>1428</v>
      </c>
      <c r="R17" t="s">
        <v>1428</v>
      </c>
    </row>
    <row r="18" spans="1:18" x14ac:dyDescent="0.25">
      <c r="A18" s="2">
        <v>14</v>
      </c>
      <c r="B18" s="3" t="s">
        <v>33</v>
      </c>
      <c r="C18" s="2" t="s">
        <v>34</v>
      </c>
      <c r="D18" s="2" t="s">
        <v>35</v>
      </c>
      <c r="E18" s="3" t="s">
        <v>1315</v>
      </c>
      <c r="I18" s="7" t="str">
        <f t="shared" si="0"/>
        <v>Meter1</v>
      </c>
      <c r="J18" s="7" t="str">
        <f t="shared" si="2"/>
        <v>U1</v>
      </c>
    </row>
    <row r="19" spans="1:18" x14ac:dyDescent="0.25">
      <c r="A19" s="2">
        <v>15</v>
      </c>
      <c r="B19" s="3" t="s">
        <v>36</v>
      </c>
      <c r="C19" s="2" t="s">
        <v>37</v>
      </c>
      <c r="D19" s="2" t="s">
        <v>35</v>
      </c>
      <c r="E19" s="3" t="s">
        <v>1316</v>
      </c>
      <c r="I19" s="7" t="str">
        <f t="shared" si="0"/>
        <v>Meter1</v>
      </c>
      <c r="J19" s="7" t="str">
        <f t="shared" si="2"/>
        <v>U2</v>
      </c>
    </row>
    <row r="20" spans="1:18" x14ac:dyDescent="0.25">
      <c r="A20" s="2">
        <v>16</v>
      </c>
      <c r="B20" s="3" t="s">
        <v>38</v>
      </c>
      <c r="C20" s="2" t="s">
        <v>39</v>
      </c>
      <c r="D20" s="2" t="s">
        <v>35</v>
      </c>
      <c r="E20" s="3" t="s">
        <v>1317</v>
      </c>
      <c r="I20" s="7" t="str">
        <f t="shared" si="0"/>
        <v>Meter1</v>
      </c>
      <c r="J20" s="7" t="str">
        <f t="shared" si="2"/>
        <v>U3</v>
      </c>
    </row>
    <row r="21" spans="1:18" x14ac:dyDescent="0.25">
      <c r="A21" s="2">
        <v>17</v>
      </c>
      <c r="B21" s="3" t="s">
        <v>40</v>
      </c>
      <c r="C21" s="2" t="s">
        <v>41</v>
      </c>
      <c r="D21" s="2" t="s">
        <v>35</v>
      </c>
      <c r="E21" s="3" t="s">
        <v>1318</v>
      </c>
      <c r="I21" s="7" t="str">
        <f t="shared" si="0"/>
        <v>Meter1</v>
      </c>
      <c r="J21" s="7" t="str">
        <f t="shared" si="2"/>
        <v>U_Ph</v>
      </c>
    </row>
    <row r="22" spans="1:18" x14ac:dyDescent="0.25">
      <c r="A22" s="2">
        <v>18</v>
      </c>
      <c r="B22" s="3" t="s">
        <v>42</v>
      </c>
      <c r="C22" s="2" t="s">
        <v>43</v>
      </c>
      <c r="D22" s="2" t="s">
        <v>35</v>
      </c>
      <c r="E22" s="3" t="s">
        <v>1319</v>
      </c>
      <c r="I22" s="7" t="str">
        <f t="shared" si="0"/>
        <v>Meter1</v>
      </c>
      <c r="J22" s="7" t="str">
        <f t="shared" si="2"/>
        <v>U12</v>
      </c>
      <c r="O22" t="s">
        <v>1319</v>
      </c>
      <c r="R22" t="s">
        <v>1319</v>
      </c>
    </row>
    <row r="23" spans="1:18" x14ac:dyDescent="0.25">
      <c r="A23" s="2">
        <v>19</v>
      </c>
      <c r="B23" s="3" t="s">
        <v>44</v>
      </c>
      <c r="C23" s="2" t="s">
        <v>45</v>
      </c>
      <c r="D23" s="2" t="s">
        <v>35</v>
      </c>
      <c r="E23" s="3" t="s">
        <v>1320</v>
      </c>
      <c r="I23" s="7" t="str">
        <f t="shared" si="0"/>
        <v>Meter1</v>
      </c>
      <c r="J23" s="7" t="str">
        <f t="shared" si="2"/>
        <v>U23</v>
      </c>
      <c r="O23" t="s">
        <v>1320</v>
      </c>
      <c r="R23" t="s">
        <v>1320</v>
      </c>
    </row>
    <row r="24" spans="1:18" x14ac:dyDescent="0.25">
      <c r="A24" s="2">
        <v>20</v>
      </c>
      <c r="B24" s="3" t="s">
        <v>46</v>
      </c>
      <c r="C24" s="2" t="s">
        <v>47</v>
      </c>
      <c r="D24" s="2" t="s">
        <v>35</v>
      </c>
      <c r="E24" s="3" t="s">
        <v>1321</v>
      </c>
      <c r="I24" s="7" t="str">
        <f t="shared" si="0"/>
        <v>Meter1</v>
      </c>
      <c r="J24" s="7" t="str">
        <f t="shared" si="2"/>
        <v>U31</v>
      </c>
      <c r="O24" t="s">
        <v>1321</v>
      </c>
      <c r="R24" t="s">
        <v>1321</v>
      </c>
    </row>
    <row r="25" spans="1:18" x14ac:dyDescent="0.25">
      <c r="A25" s="2">
        <v>21</v>
      </c>
      <c r="B25" s="3" t="s">
        <v>48</v>
      </c>
      <c r="C25" s="2" t="s">
        <v>49</v>
      </c>
      <c r="D25" s="2" t="s">
        <v>35</v>
      </c>
      <c r="E25" s="3" t="s">
        <v>1322</v>
      </c>
      <c r="I25" s="7" t="str">
        <f t="shared" si="0"/>
        <v>Meter1</v>
      </c>
      <c r="J25" s="7" t="str">
        <f t="shared" si="2"/>
        <v>Uline</v>
      </c>
    </row>
    <row r="26" spans="1:18" x14ac:dyDescent="0.25">
      <c r="A26" s="2">
        <v>22</v>
      </c>
      <c r="B26" s="3" t="s">
        <v>50</v>
      </c>
      <c r="C26" s="2" t="s">
        <v>51</v>
      </c>
      <c r="D26" s="2" t="s">
        <v>35</v>
      </c>
      <c r="E26" s="3" t="s">
        <v>1312</v>
      </c>
      <c r="I26" s="7" t="str">
        <f t="shared" si="0"/>
        <v>Meter1</v>
      </c>
      <c r="J26" s="7" t="str">
        <f t="shared" si="2"/>
        <v>I1</v>
      </c>
      <c r="Q26" s="3" t="s">
        <v>1429</v>
      </c>
      <c r="R26" s="3" t="s">
        <v>1429</v>
      </c>
    </row>
    <row r="27" spans="1:18" x14ac:dyDescent="0.25">
      <c r="A27" s="2">
        <v>23</v>
      </c>
      <c r="B27" s="3" t="s">
        <v>52</v>
      </c>
      <c r="C27" s="2" t="s">
        <v>53</v>
      </c>
      <c r="D27" s="2" t="s">
        <v>35</v>
      </c>
      <c r="E27" s="3" t="s">
        <v>1313</v>
      </c>
      <c r="I27" s="7" t="str">
        <f t="shared" si="0"/>
        <v>Meter1</v>
      </c>
      <c r="J27" s="7" t="str">
        <f t="shared" si="2"/>
        <v>I2</v>
      </c>
      <c r="Q27" s="3" t="s">
        <v>1430</v>
      </c>
      <c r="R27" s="3" t="s">
        <v>1430</v>
      </c>
    </row>
    <row r="28" spans="1:18" x14ac:dyDescent="0.25">
      <c r="A28" s="2">
        <v>24</v>
      </c>
      <c r="B28" s="3" t="s">
        <v>54</v>
      </c>
      <c r="C28" s="2" t="s">
        <v>55</v>
      </c>
      <c r="D28" s="2" t="s">
        <v>35</v>
      </c>
      <c r="E28" s="3" t="s">
        <v>1314</v>
      </c>
      <c r="I28" s="7" t="str">
        <f t="shared" si="0"/>
        <v>Meter1</v>
      </c>
      <c r="J28" s="7" t="str">
        <f t="shared" si="2"/>
        <v>I3</v>
      </c>
      <c r="Q28" s="3" t="s">
        <v>1431</v>
      </c>
      <c r="R28" s="3" t="s">
        <v>1431</v>
      </c>
    </row>
    <row r="29" spans="1:18" x14ac:dyDescent="0.25">
      <c r="A29" s="2">
        <v>25</v>
      </c>
      <c r="B29" s="3" t="s">
        <v>56</v>
      </c>
      <c r="C29" s="2" t="s">
        <v>57</v>
      </c>
      <c r="D29" s="2" t="s">
        <v>35</v>
      </c>
      <c r="E29" s="3" t="s">
        <v>1311</v>
      </c>
      <c r="I29" s="7" t="str">
        <f t="shared" si="0"/>
        <v>Meter1</v>
      </c>
      <c r="J29" s="7" t="str">
        <f t="shared" si="2"/>
        <v>I_ph</v>
      </c>
      <c r="N29" t="s">
        <v>1404</v>
      </c>
      <c r="O29" t="s">
        <v>1404</v>
      </c>
      <c r="R29" t="s">
        <v>1433</v>
      </c>
    </row>
    <row r="30" spans="1:18" x14ac:dyDescent="0.25">
      <c r="A30" s="2">
        <v>26</v>
      </c>
      <c r="B30" s="3" t="s">
        <v>58</v>
      </c>
      <c r="C30" s="2" t="s">
        <v>59</v>
      </c>
      <c r="D30" s="2" t="s">
        <v>35</v>
      </c>
      <c r="E30" s="3" t="s">
        <v>1323</v>
      </c>
      <c r="I30" s="7" t="str">
        <f t="shared" si="0"/>
        <v>Meter1</v>
      </c>
      <c r="J30" s="7" t="str">
        <f t="shared" si="2"/>
        <v>kw1</v>
      </c>
    </row>
    <row r="31" spans="1:18" x14ac:dyDescent="0.25">
      <c r="A31" s="2">
        <v>27</v>
      </c>
      <c r="B31" s="3" t="s">
        <v>60</v>
      </c>
      <c r="C31" s="2" t="s">
        <v>61</v>
      </c>
      <c r="D31" s="2" t="s">
        <v>35</v>
      </c>
      <c r="E31" s="3" t="s">
        <v>1324</v>
      </c>
      <c r="I31" s="7" t="str">
        <f t="shared" si="0"/>
        <v>Meter1</v>
      </c>
      <c r="J31" s="7" t="str">
        <f t="shared" si="2"/>
        <v>kw2</v>
      </c>
    </row>
    <row r="32" spans="1:18" x14ac:dyDescent="0.25">
      <c r="A32" s="2">
        <v>28</v>
      </c>
      <c r="B32" s="3" t="s">
        <v>62</v>
      </c>
      <c r="C32" s="2" t="s">
        <v>63</v>
      </c>
      <c r="D32" s="2" t="s">
        <v>35</v>
      </c>
      <c r="E32" s="3" t="s">
        <v>1325</v>
      </c>
      <c r="I32" s="7" t="str">
        <f t="shared" si="0"/>
        <v>Meter1</v>
      </c>
      <c r="J32" s="7" t="str">
        <f t="shared" si="2"/>
        <v>kw3</v>
      </c>
    </row>
    <row r="33" spans="1:18" x14ac:dyDescent="0.25">
      <c r="A33" s="2">
        <v>29</v>
      </c>
      <c r="B33" s="3" t="s">
        <v>64</v>
      </c>
      <c r="C33" s="2" t="s">
        <v>65</v>
      </c>
      <c r="D33" s="2" t="s">
        <v>35</v>
      </c>
      <c r="E33" s="3" t="s">
        <v>1326</v>
      </c>
      <c r="I33" s="7" t="str">
        <f t="shared" si="0"/>
        <v>Meter1</v>
      </c>
      <c r="J33" s="7" t="str">
        <f t="shared" si="2"/>
        <v>kva1</v>
      </c>
    </row>
    <row r="34" spans="1:18" x14ac:dyDescent="0.25">
      <c r="A34" s="2">
        <v>30</v>
      </c>
      <c r="B34" s="3" t="s">
        <v>66</v>
      </c>
      <c r="C34" s="2" t="s">
        <v>67</v>
      </c>
      <c r="D34" s="2" t="s">
        <v>35</v>
      </c>
      <c r="E34" s="3" t="s">
        <v>1327</v>
      </c>
      <c r="I34" s="7" t="str">
        <f t="shared" si="0"/>
        <v>Meter1</v>
      </c>
      <c r="J34" s="7" t="str">
        <f t="shared" si="2"/>
        <v>kva2</v>
      </c>
    </row>
    <row r="35" spans="1:18" x14ac:dyDescent="0.25">
      <c r="A35" s="2">
        <v>31</v>
      </c>
      <c r="B35" s="3" t="s">
        <v>68</v>
      </c>
      <c r="C35" s="2" t="s">
        <v>69</v>
      </c>
      <c r="D35" s="2" t="s">
        <v>35</v>
      </c>
      <c r="E35" s="3" t="s">
        <v>1328</v>
      </c>
      <c r="I35" s="7" t="str">
        <f t="shared" si="0"/>
        <v>Meter1</v>
      </c>
      <c r="J35" s="7" t="str">
        <f t="shared" si="2"/>
        <v>kva3</v>
      </c>
    </row>
    <row r="36" spans="1:18" x14ac:dyDescent="0.25">
      <c r="A36" s="2">
        <v>32</v>
      </c>
      <c r="B36" s="3" t="s">
        <v>70</v>
      </c>
      <c r="C36" s="2" t="s">
        <v>71</v>
      </c>
      <c r="D36" s="2" t="s">
        <v>35</v>
      </c>
      <c r="E36" s="3" t="s">
        <v>1329</v>
      </c>
      <c r="I36" s="7" t="str">
        <f t="shared" si="0"/>
        <v>Meter1</v>
      </c>
      <c r="J36" s="7" t="str">
        <f t="shared" si="2"/>
        <v>kvar1</v>
      </c>
    </row>
    <row r="37" spans="1:18" x14ac:dyDescent="0.25">
      <c r="A37" s="2">
        <v>33</v>
      </c>
      <c r="B37" s="3" t="s">
        <v>72</v>
      </c>
      <c r="C37" s="2" t="s">
        <v>73</v>
      </c>
      <c r="D37" s="2" t="s">
        <v>35</v>
      </c>
      <c r="E37" s="3" t="s">
        <v>1330</v>
      </c>
      <c r="I37" s="7" t="str">
        <f t="shared" si="0"/>
        <v>Meter1</v>
      </c>
      <c r="J37" s="7" t="str">
        <f t="shared" si="2"/>
        <v>kvar2</v>
      </c>
    </row>
    <row r="38" spans="1:18" x14ac:dyDescent="0.25">
      <c r="A38" s="2">
        <v>34</v>
      </c>
      <c r="B38" s="3" t="s">
        <v>74</v>
      </c>
      <c r="C38" s="2" t="s">
        <v>75</v>
      </c>
      <c r="D38" s="2" t="s">
        <v>35</v>
      </c>
      <c r="E38" s="3" t="s">
        <v>1331</v>
      </c>
      <c r="I38" s="7" t="str">
        <f t="shared" si="0"/>
        <v>Meter1</v>
      </c>
      <c r="J38" s="7" t="str">
        <f t="shared" si="2"/>
        <v>kvar3</v>
      </c>
    </row>
    <row r="39" spans="1:18" x14ac:dyDescent="0.25">
      <c r="A39" s="2">
        <v>35</v>
      </c>
      <c r="B39" s="3" t="s">
        <v>76</v>
      </c>
      <c r="C39" s="2" t="s">
        <v>77</v>
      </c>
      <c r="D39" s="2" t="s">
        <v>35</v>
      </c>
      <c r="E39" s="3" t="s">
        <v>1332</v>
      </c>
      <c r="I39" s="7" t="str">
        <f t="shared" si="0"/>
        <v>Meter1</v>
      </c>
      <c r="J39" s="7" t="str">
        <f t="shared" si="2"/>
        <v>total_kw</v>
      </c>
      <c r="O39" t="s">
        <v>1406</v>
      </c>
      <c r="R39" t="s">
        <v>1406</v>
      </c>
    </row>
    <row r="40" spans="1:18" x14ac:dyDescent="0.25">
      <c r="A40" s="2">
        <v>36</v>
      </c>
      <c r="B40" s="3" t="s">
        <v>78</v>
      </c>
      <c r="C40" s="2" t="s">
        <v>79</v>
      </c>
      <c r="D40" s="2" t="s">
        <v>35</v>
      </c>
      <c r="E40" s="3" t="s">
        <v>1333</v>
      </c>
      <c r="I40" s="7" t="str">
        <f t="shared" si="0"/>
        <v>Meter1</v>
      </c>
      <c r="J40" s="7" t="str">
        <f t="shared" si="2"/>
        <v>total_kva</v>
      </c>
    </row>
    <row r="41" spans="1:18" x14ac:dyDescent="0.25">
      <c r="A41" s="2">
        <v>37</v>
      </c>
      <c r="B41" s="3" t="s">
        <v>80</v>
      </c>
      <c r="C41" s="2" t="s">
        <v>81</v>
      </c>
      <c r="D41" s="2" t="s">
        <v>35</v>
      </c>
      <c r="E41" s="3" t="s">
        <v>1334</v>
      </c>
      <c r="I41" s="7" t="str">
        <f t="shared" si="0"/>
        <v>Meter1</v>
      </c>
      <c r="J41" s="7" t="str">
        <f t="shared" si="2"/>
        <v>total_kvar</v>
      </c>
    </row>
    <row r="42" spans="1:18" x14ac:dyDescent="0.25">
      <c r="A42" s="2">
        <v>38</v>
      </c>
      <c r="B42" s="3" t="s">
        <v>82</v>
      </c>
      <c r="C42" s="2" t="s">
        <v>83</v>
      </c>
      <c r="D42" s="2" t="s">
        <v>35</v>
      </c>
      <c r="E42" s="3" t="s">
        <v>1335</v>
      </c>
      <c r="I42" s="7" t="str">
        <f t="shared" si="0"/>
        <v>Meter1</v>
      </c>
      <c r="J42" s="7" t="str">
        <f t="shared" si="2"/>
        <v>PF1</v>
      </c>
    </row>
    <row r="43" spans="1:18" x14ac:dyDescent="0.25">
      <c r="A43" s="2">
        <v>39</v>
      </c>
      <c r="B43" s="3" t="s">
        <v>84</v>
      </c>
      <c r="C43" s="2" t="s">
        <v>85</v>
      </c>
      <c r="D43" s="2" t="s">
        <v>35</v>
      </c>
      <c r="E43" s="3" t="s">
        <v>1336</v>
      </c>
      <c r="I43" s="7" t="str">
        <f t="shared" si="0"/>
        <v>Meter1</v>
      </c>
      <c r="J43" s="7" t="str">
        <f t="shared" si="2"/>
        <v>PF2</v>
      </c>
    </row>
    <row r="44" spans="1:18" x14ac:dyDescent="0.25">
      <c r="A44" s="2">
        <v>40</v>
      </c>
      <c r="B44" s="3" t="s">
        <v>86</v>
      </c>
      <c r="C44" s="2" t="s">
        <v>87</v>
      </c>
      <c r="D44" s="2" t="s">
        <v>35</v>
      </c>
      <c r="E44" s="3" t="s">
        <v>1337</v>
      </c>
      <c r="I44" s="7" t="str">
        <f t="shared" si="0"/>
        <v>Meter1</v>
      </c>
      <c r="J44" s="7" t="str">
        <f t="shared" si="2"/>
        <v>PF3</v>
      </c>
    </row>
    <row r="45" spans="1:18" x14ac:dyDescent="0.25">
      <c r="A45" s="2">
        <v>41</v>
      </c>
      <c r="B45" s="3" t="s">
        <v>88</v>
      </c>
      <c r="C45" s="2" t="s">
        <v>89</v>
      </c>
      <c r="D45" s="2" t="s">
        <v>35</v>
      </c>
      <c r="E45" s="3" t="s">
        <v>1338</v>
      </c>
      <c r="I45" s="7" t="str">
        <f t="shared" si="0"/>
        <v>Meter1</v>
      </c>
      <c r="J45" s="7" t="str">
        <f t="shared" si="2"/>
        <v>PF</v>
      </c>
      <c r="O45" t="s">
        <v>1405</v>
      </c>
      <c r="R45" t="s">
        <v>1405</v>
      </c>
    </row>
    <row r="46" spans="1:18" x14ac:dyDescent="0.25">
      <c r="A46" s="2">
        <v>42</v>
      </c>
      <c r="B46" s="3" t="s">
        <v>90</v>
      </c>
      <c r="C46" s="2" t="s">
        <v>91</v>
      </c>
      <c r="D46" s="2" t="s">
        <v>35</v>
      </c>
      <c r="E46" s="3" t="s">
        <v>1339</v>
      </c>
      <c r="I46" s="7" t="str">
        <f t="shared" si="0"/>
        <v>Meter1</v>
      </c>
      <c r="J46" s="7" t="str">
        <f t="shared" si="2"/>
        <v>freq</v>
      </c>
      <c r="O46" t="s">
        <v>1339</v>
      </c>
      <c r="R46" t="s">
        <v>1339</v>
      </c>
    </row>
    <row r="47" spans="1:18" x14ac:dyDescent="0.25">
      <c r="A47" s="2">
        <v>43</v>
      </c>
      <c r="B47" s="3" t="s">
        <v>92</v>
      </c>
      <c r="C47" s="2" t="s">
        <v>93</v>
      </c>
      <c r="D47" s="2" t="s">
        <v>35</v>
      </c>
      <c r="E47" s="3" t="s">
        <v>1340</v>
      </c>
      <c r="I47" s="7" t="str">
        <f t="shared" si="0"/>
        <v>Meter1</v>
      </c>
      <c r="J47" s="7" t="str">
        <f t="shared" si="2"/>
        <v>kwh</v>
      </c>
      <c r="O47" t="s">
        <v>1340</v>
      </c>
      <c r="R47" t="s">
        <v>1340</v>
      </c>
    </row>
    <row r="48" spans="1:18" x14ac:dyDescent="0.25">
      <c r="A48" s="2">
        <v>44</v>
      </c>
      <c r="B48" s="3" t="s">
        <v>94</v>
      </c>
      <c r="C48" s="2" t="s">
        <v>95</v>
      </c>
      <c r="D48" s="2" t="s">
        <v>35</v>
      </c>
      <c r="E48" s="3" t="s">
        <v>1341</v>
      </c>
      <c r="I48" s="7" t="str">
        <f t="shared" si="0"/>
        <v>Meter1</v>
      </c>
      <c r="J48" s="7" t="str">
        <f t="shared" si="2"/>
        <v>kvah</v>
      </c>
    </row>
    <row r="49" spans="1:16" x14ac:dyDescent="0.25">
      <c r="A49" s="2">
        <v>45</v>
      </c>
      <c r="B49" s="3" t="s">
        <v>96</v>
      </c>
      <c r="C49" s="2" t="s">
        <v>97</v>
      </c>
      <c r="D49" s="2" t="s">
        <v>35</v>
      </c>
      <c r="E49" s="3" t="s">
        <v>1342</v>
      </c>
      <c r="I49" s="7" t="str">
        <f t="shared" si="0"/>
        <v>Meter1</v>
      </c>
      <c r="J49" s="7" t="str">
        <f t="shared" si="2"/>
        <v>kvarh</v>
      </c>
    </row>
    <row r="50" spans="1:16" x14ac:dyDescent="0.25">
      <c r="A50" s="2">
        <v>46</v>
      </c>
      <c r="B50" s="3" t="s">
        <v>98</v>
      </c>
      <c r="C50" s="2" t="s">
        <v>99</v>
      </c>
      <c r="D50" s="2" t="s">
        <v>7</v>
      </c>
      <c r="E50" s="3" t="s">
        <v>1343</v>
      </c>
      <c r="I50" s="7" t="str">
        <f t="shared" si="0"/>
        <v>Pump1</v>
      </c>
      <c r="J50" s="7" t="str">
        <f t="shared" si="2"/>
        <v>Ctrl_run_Pump</v>
      </c>
    </row>
    <row r="51" spans="1:16" x14ac:dyDescent="0.25">
      <c r="A51" s="2">
        <v>47</v>
      </c>
      <c r="B51" s="3" t="s">
        <v>100</v>
      </c>
      <c r="C51" s="2" t="s">
        <v>101</v>
      </c>
      <c r="D51" s="2" t="s">
        <v>7</v>
      </c>
      <c r="E51" s="3" t="s">
        <v>1354</v>
      </c>
      <c r="I51" s="7" t="str">
        <f t="shared" si="0"/>
        <v>Pump1</v>
      </c>
      <c r="J51" s="7" t="str">
        <f t="shared" si="2"/>
        <v>FB_Fault</v>
      </c>
      <c r="L51" s="11"/>
      <c r="P51" t="s">
        <v>1397</v>
      </c>
    </row>
    <row r="52" spans="1:16" x14ac:dyDescent="0.25">
      <c r="A52" s="2">
        <v>48</v>
      </c>
      <c r="B52" s="3" t="s">
        <v>102</v>
      </c>
      <c r="C52" s="2" t="s">
        <v>103</v>
      </c>
      <c r="D52" s="2" t="s">
        <v>7</v>
      </c>
      <c r="E52" s="3" t="s">
        <v>1344</v>
      </c>
      <c r="I52" s="7" t="str">
        <f t="shared" si="0"/>
        <v>Pump1</v>
      </c>
      <c r="J52" s="7" t="str">
        <f t="shared" si="2"/>
        <v>Ctrl_PB_Run</v>
      </c>
    </row>
    <row r="53" spans="1:16" x14ac:dyDescent="0.25">
      <c r="A53" s="2">
        <v>49</v>
      </c>
      <c r="B53" s="3" t="s">
        <v>104</v>
      </c>
      <c r="C53" s="2" t="s">
        <v>105</v>
      </c>
      <c r="D53" s="2" t="s">
        <v>7</v>
      </c>
      <c r="E53" s="3" t="s">
        <v>1345</v>
      </c>
      <c r="I53" s="7" t="str">
        <f t="shared" si="0"/>
        <v>Pump1</v>
      </c>
      <c r="J53" s="7" t="str">
        <f t="shared" si="2"/>
        <v>Ctrl_PB_Stop</v>
      </c>
    </row>
    <row r="54" spans="1:16" x14ac:dyDescent="0.25">
      <c r="A54" s="2">
        <v>50</v>
      </c>
      <c r="B54" s="3" t="s">
        <v>106</v>
      </c>
      <c r="C54" s="2" t="s">
        <v>107</v>
      </c>
      <c r="D54" s="2" t="s">
        <v>7</v>
      </c>
      <c r="E54" s="3" t="s">
        <v>1346</v>
      </c>
      <c r="I54" s="7" t="str">
        <f t="shared" si="0"/>
        <v>Pump1</v>
      </c>
      <c r="J54" s="7" t="str">
        <f t="shared" si="2"/>
        <v>Ctrl_PB_RST</v>
      </c>
    </row>
    <row r="55" spans="1:16" x14ac:dyDescent="0.25">
      <c r="A55" s="2">
        <v>51</v>
      </c>
      <c r="B55" s="3" t="s">
        <v>108</v>
      </c>
      <c r="C55" s="2" t="s">
        <v>109</v>
      </c>
      <c r="D55" s="2" t="s">
        <v>24</v>
      </c>
      <c r="E55" s="3" t="s">
        <v>1347</v>
      </c>
      <c r="I55" s="7" t="str">
        <f t="shared" si="0"/>
        <v>Pump1</v>
      </c>
      <c r="J55" s="7" t="str">
        <f t="shared" si="2"/>
        <v>Time_Run_M</v>
      </c>
      <c r="O55" s="20" t="s">
        <v>1417</v>
      </c>
    </row>
    <row r="56" spans="1:16" x14ac:dyDescent="0.25">
      <c r="A56" s="2">
        <v>52</v>
      </c>
      <c r="B56" s="3" t="s">
        <v>110</v>
      </c>
      <c r="C56" s="2" t="s">
        <v>111</v>
      </c>
      <c r="D56" s="2" t="s">
        <v>24</v>
      </c>
      <c r="E56" s="3" t="s">
        <v>1348</v>
      </c>
      <c r="I56" s="7" t="str">
        <f t="shared" si="0"/>
        <v>Pump1</v>
      </c>
      <c r="J56" s="7" t="str">
        <f t="shared" si="2"/>
        <v>Time_Run_H</v>
      </c>
      <c r="O56" s="20"/>
    </row>
    <row r="57" spans="1:16" x14ac:dyDescent="0.25">
      <c r="A57" s="2">
        <v>53</v>
      </c>
      <c r="B57" s="3" t="s">
        <v>112</v>
      </c>
      <c r="C57" s="2" t="s">
        <v>113</v>
      </c>
      <c r="D57" s="2" t="s">
        <v>24</v>
      </c>
      <c r="E57" s="3" t="s">
        <v>1349</v>
      </c>
      <c r="I57" s="7" t="str">
        <f t="shared" si="0"/>
        <v>Pump1</v>
      </c>
      <c r="J57" s="7" t="str">
        <f t="shared" si="2"/>
        <v>Total_Time_Run_M</v>
      </c>
      <c r="O57" s="20" t="s">
        <v>1418</v>
      </c>
    </row>
    <row r="58" spans="1:16" x14ac:dyDescent="0.25">
      <c r="A58" s="2">
        <v>54</v>
      </c>
      <c r="B58" s="3" t="s">
        <v>114</v>
      </c>
      <c r="C58" s="2" t="s">
        <v>115</v>
      </c>
      <c r="D58" s="2" t="s">
        <v>24</v>
      </c>
      <c r="E58" s="3" t="s">
        <v>1350</v>
      </c>
      <c r="I58" s="7" t="str">
        <f t="shared" si="0"/>
        <v>Pump1</v>
      </c>
      <c r="J58" s="7" t="str">
        <f t="shared" si="2"/>
        <v>Total_Time_Run_H</v>
      </c>
      <c r="N58" t="s">
        <v>1407</v>
      </c>
      <c r="O58" s="20"/>
    </row>
    <row r="59" spans="1:16" x14ac:dyDescent="0.25">
      <c r="A59" s="2">
        <v>55</v>
      </c>
      <c r="B59" s="3" t="s">
        <v>116</v>
      </c>
      <c r="C59" s="2" t="s">
        <v>117</v>
      </c>
      <c r="D59" s="2" t="s">
        <v>24</v>
      </c>
      <c r="E59" s="3" t="s">
        <v>1351</v>
      </c>
      <c r="I59" s="7" t="str">
        <f t="shared" si="0"/>
        <v>Pump1</v>
      </c>
      <c r="J59" s="7" t="str">
        <f t="shared" si="2"/>
        <v>NumberOfclose</v>
      </c>
    </row>
    <row r="60" spans="1:16" x14ac:dyDescent="0.25">
      <c r="A60" s="2">
        <v>56</v>
      </c>
      <c r="B60" s="3" t="s">
        <v>118</v>
      </c>
      <c r="C60" s="2" t="s">
        <v>119</v>
      </c>
      <c r="D60" s="2" t="s">
        <v>7</v>
      </c>
      <c r="E60" s="3" t="s">
        <v>1355</v>
      </c>
      <c r="I60" s="7" t="str">
        <f t="shared" si="0"/>
        <v>Pump2</v>
      </c>
      <c r="J60" s="7" t="str">
        <f t="shared" si="2"/>
        <v>FB_auto</v>
      </c>
    </row>
    <row r="61" spans="1:16" x14ac:dyDescent="0.25">
      <c r="A61" s="2">
        <v>57</v>
      </c>
      <c r="B61" s="3" t="s">
        <v>120</v>
      </c>
      <c r="C61" s="2" t="s">
        <v>121</v>
      </c>
      <c r="D61" s="2" t="s">
        <v>7</v>
      </c>
      <c r="E61" s="3" t="s">
        <v>1306</v>
      </c>
      <c r="I61" s="7" t="str">
        <f t="shared" si="0"/>
        <v>Pump2</v>
      </c>
      <c r="J61" s="7" t="str">
        <f t="shared" si="2"/>
        <v>FB_Run</v>
      </c>
      <c r="L61" s="9"/>
      <c r="M61" t="s">
        <v>1397</v>
      </c>
      <c r="N61" t="s">
        <v>1397</v>
      </c>
      <c r="O61" t="s">
        <v>1397</v>
      </c>
    </row>
    <row r="62" spans="1:16" x14ac:dyDescent="0.25">
      <c r="A62" s="2">
        <v>58</v>
      </c>
      <c r="B62" s="3" t="s">
        <v>122</v>
      </c>
      <c r="C62" s="2" t="s">
        <v>123</v>
      </c>
      <c r="D62" s="2" t="s">
        <v>7</v>
      </c>
      <c r="E62" s="3" t="s">
        <v>1307</v>
      </c>
      <c r="I62" s="7" t="str">
        <f t="shared" si="0"/>
        <v>Pump2</v>
      </c>
      <c r="J62" s="7" t="str">
        <f t="shared" si="2"/>
        <v>FB_Fault_V</v>
      </c>
      <c r="P62" t="s">
        <v>1397</v>
      </c>
    </row>
    <row r="63" spans="1:16" x14ac:dyDescent="0.25">
      <c r="A63" s="2">
        <v>59</v>
      </c>
      <c r="B63" s="3" t="s">
        <v>124</v>
      </c>
      <c r="C63" s="2" t="s">
        <v>125</v>
      </c>
      <c r="D63" s="2" t="s">
        <v>7</v>
      </c>
      <c r="E63" s="3" t="s">
        <v>1307</v>
      </c>
      <c r="I63" s="7" t="str">
        <f t="shared" si="0"/>
        <v>Pump2</v>
      </c>
      <c r="J63" s="7" t="str">
        <f t="shared" si="2"/>
        <v>FB_Fault_SS</v>
      </c>
      <c r="M63" t="s">
        <v>1397</v>
      </c>
      <c r="P63" t="s">
        <v>1397</v>
      </c>
    </row>
    <row r="64" spans="1:16" x14ac:dyDescent="0.25">
      <c r="A64" s="2">
        <v>60</v>
      </c>
      <c r="B64" s="3" t="s">
        <v>126</v>
      </c>
      <c r="C64" s="2" t="s">
        <v>127</v>
      </c>
      <c r="D64" s="2" t="s">
        <v>7</v>
      </c>
      <c r="E64" s="3" t="s">
        <v>1356</v>
      </c>
      <c r="I64" s="7" t="str">
        <f t="shared" si="0"/>
        <v>Pump2</v>
      </c>
      <c r="J64" s="7" t="str">
        <f t="shared" si="2"/>
        <v>FB_Fault_Temp</v>
      </c>
      <c r="P64" t="s">
        <v>1397</v>
      </c>
    </row>
    <row r="65" spans="1:18" x14ac:dyDescent="0.25">
      <c r="A65" s="2">
        <v>61</v>
      </c>
      <c r="B65" s="3" t="s">
        <v>128</v>
      </c>
      <c r="C65" s="2" t="s">
        <v>129</v>
      </c>
      <c r="D65" s="2" t="s">
        <v>7</v>
      </c>
      <c r="E65" s="3" t="s">
        <v>1307</v>
      </c>
      <c r="I65" s="7" t="str">
        <f t="shared" si="0"/>
        <v>Pump2</v>
      </c>
      <c r="J65" s="7" t="str">
        <f t="shared" si="2"/>
        <v>FB_Fault_Curent</v>
      </c>
      <c r="P65" t="s">
        <v>1397</v>
      </c>
    </row>
    <row r="66" spans="1:18" x14ac:dyDescent="0.25">
      <c r="A66" s="2">
        <v>62</v>
      </c>
      <c r="B66" s="3" t="s">
        <v>130</v>
      </c>
      <c r="C66" s="2" t="s">
        <v>131</v>
      </c>
      <c r="D66" s="2" t="s">
        <v>7</v>
      </c>
      <c r="E66" s="3" t="s">
        <v>1357</v>
      </c>
      <c r="I66" s="7" t="str">
        <f t="shared" si="0"/>
        <v>Pump2</v>
      </c>
      <c r="J66" s="7" t="str">
        <f t="shared" si="2"/>
        <v>Clock_1m</v>
      </c>
    </row>
    <row r="67" spans="1:18" x14ac:dyDescent="0.25">
      <c r="A67" s="2">
        <v>63</v>
      </c>
      <c r="B67" s="3" t="s">
        <v>132</v>
      </c>
      <c r="C67" s="2" t="s">
        <v>133</v>
      </c>
      <c r="D67" s="2" t="s">
        <v>7</v>
      </c>
      <c r="E67" s="3" t="s">
        <v>1358</v>
      </c>
      <c r="I67" s="7" t="str">
        <f t="shared" si="0"/>
        <v>Pump2</v>
      </c>
      <c r="J67" s="7" t="str">
        <f t="shared" si="2"/>
        <v>FB_stop</v>
      </c>
      <c r="L67" s="10"/>
      <c r="M67" t="s">
        <v>1397</v>
      </c>
      <c r="N67" t="s">
        <v>1397</v>
      </c>
      <c r="O67" t="s">
        <v>1397</v>
      </c>
    </row>
    <row r="68" spans="1:18" x14ac:dyDescent="0.25">
      <c r="A68" s="2">
        <v>8</v>
      </c>
      <c r="B68" s="12" t="s">
        <v>1434</v>
      </c>
      <c r="C68" s="2" t="s">
        <v>21</v>
      </c>
      <c r="D68" s="2" t="s">
        <v>7</v>
      </c>
      <c r="E68" s="3" t="s">
        <v>1393</v>
      </c>
      <c r="I68" s="7" t="str">
        <f t="shared" si="0"/>
        <v>Pump2</v>
      </c>
      <c r="J68" s="7" t="str">
        <f t="shared" ref="J68" si="4">RIGHT(B68, LEN(B68)-SEARCH("_",B68 ))</f>
        <v>FB_maintenance</v>
      </c>
      <c r="L68" s="13"/>
      <c r="M68" t="s">
        <v>1397</v>
      </c>
      <c r="N68" t="s">
        <v>1397</v>
      </c>
      <c r="O68" t="s">
        <v>1397</v>
      </c>
    </row>
    <row r="69" spans="1:18" x14ac:dyDescent="0.25">
      <c r="A69" s="2">
        <v>64</v>
      </c>
      <c r="B69" s="3" t="s">
        <v>134</v>
      </c>
      <c r="C69" s="2" t="s">
        <v>135</v>
      </c>
      <c r="D69" s="2" t="s">
        <v>24</v>
      </c>
      <c r="E69" s="3" t="s">
        <v>1352</v>
      </c>
      <c r="I69" s="7" t="str">
        <f t="shared" si="0"/>
        <v>Pump2</v>
      </c>
      <c r="J69" s="7" t="str">
        <f t="shared" si="2"/>
        <v>FB_Temp_DEBearing</v>
      </c>
      <c r="O69" t="s">
        <v>1399</v>
      </c>
      <c r="Q69" t="s">
        <v>1424</v>
      </c>
      <c r="R69" t="s">
        <v>1424</v>
      </c>
    </row>
    <row r="70" spans="1:18" x14ac:dyDescent="0.25">
      <c r="A70" s="2">
        <v>65</v>
      </c>
      <c r="B70" s="3" t="s">
        <v>136</v>
      </c>
      <c r="C70" s="2" t="s">
        <v>137</v>
      </c>
      <c r="D70" s="2" t="s">
        <v>24</v>
      </c>
      <c r="E70" s="3" t="s">
        <v>1353</v>
      </c>
      <c r="I70" s="7" t="str">
        <f t="shared" si="0"/>
        <v>Pump2</v>
      </c>
      <c r="J70" s="7" t="str">
        <f t="shared" si="2"/>
        <v>FB_Temp_NDEBearing</v>
      </c>
      <c r="O70" t="s">
        <v>1400</v>
      </c>
      <c r="Q70" t="s">
        <v>1425</v>
      </c>
      <c r="R70" t="s">
        <v>1425</v>
      </c>
    </row>
    <row r="71" spans="1:18" x14ac:dyDescent="0.25">
      <c r="A71" s="2">
        <v>66</v>
      </c>
      <c r="B71" s="3" t="s">
        <v>138</v>
      </c>
      <c r="C71" s="2" t="s">
        <v>139</v>
      </c>
      <c r="D71" s="2" t="s">
        <v>24</v>
      </c>
      <c r="E71" s="3" t="s">
        <v>1308</v>
      </c>
      <c r="I71" s="7" t="str">
        <f t="shared" ref="I71:I135" si="5">LEFT(B71, SEARCH("_",B71 ) - 1)</f>
        <v>Pump2</v>
      </c>
      <c r="J71" s="7" t="str">
        <f t="shared" si="2"/>
        <v>FB_Temp_PhaseA</v>
      </c>
      <c r="O71" t="s">
        <v>1401</v>
      </c>
      <c r="Q71" t="s">
        <v>1426</v>
      </c>
      <c r="R71" t="s">
        <v>1426</v>
      </c>
    </row>
    <row r="72" spans="1:18" x14ac:dyDescent="0.25">
      <c r="A72" s="2">
        <v>67</v>
      </c>
      <c r="B72" s="3" t="s">
        <v>140</v>
      </c>
      <c r="C72" s="2" t="s">
        <v>141</v>
      </c>
      <c r="D72" s="2" t="s">
        <v>24</v>
      </c>
      <c r="E72" s="3" t="s">
        <v>1309</v>
      </c>
      <c r="I72" s="7" t="str">
        <f t="shared" si="5"/>
        <v>Pump2</v>
      </c>
      <c r="J72" s="7" t="str">
        <f t="shared" si="2"/>
        <v>FB_Temp_PhaseB</v>
      </c>
      <c r="O72" t="s">
        <v>1402</v>
      </c>
      <c r="Q72" t="s">
        <v>1427</v>
      </c>
      <c r="R72" t="s">
        <v>1427</v>
      </c>
    </row>
    <row r="73" spans="1:18" x14ac:dyDescent="0.25">
      <c r="A73" s="2">
        <v>68</v>
      </c>
      <c r="B73" s="3" t="s">
        <v>142</v>
      </c>
      <c r="C73" s="2" t="s">
        <v>143</v>
      </c>
      <c r="D73" s="2" t="s">
        <v>24</v>
      </c>
      <c r="E73" s="3" t="s">
        <v>1310</v>
      </c>
      <c r="I73" s="7" t="str">
        <f t="shared" si="5"/>
        <v>Pump2</v>
      </c>
      <c r="J73" s="7" t="str">
        <f t="shared" si="2"/>
        <v>FB_Temp_PhaseC</v>
      </c>
      <c r="O73" t="s">
        <v>1403</v>
      </c>
      <c r="Q73" t="s">
        <v>1428</v>
      </c>
      <c r="R73" t="s">
        <v>1428</v>
      </c>
    </row>
    <row r="74" spans="1:18" x14ac:dyDescent="0.25">
      <c r="A74" s="2">
        <v>69</v>
      </c>
      <c r="B74" s="3" t="s">
        <v>144</v>
      </c>
      <c r="C74" s="2" t="s">
        <v>145</v>
      </c>
      <c r="D74" s="2" t="s">
        <v>35</v>
      </c>
      <c r="E74" s="3" t="s">
        <v>1315</v>
      </c>
      <c r="I74" s="7" t="str">
        <f t="shared" si="5"/>
        <v>Meter2</v>
      </c>
      <c r="J74" s="7" t="str">
        <f t="shared" si="2"/>
        <v>U1</v>
      </c>
    </row>
    <row r="75" spans="1:18" x14ac:dyDescent="0.25">
      <c r="A75" s="2">
        <v>70</v>
      </c>
      <c r="B75" s="3" t="s">
        <v>146</v>
      </c>
      <c r="C75" s="2" t="s">
        <v>147</v>
      </c>
      <c r="D75" s="2" t="s">
        <v>35</v>
      </c>
      <c r="E75" s="3" t="s">
        <v>1316</v>
      </c>
      <c r="I75" s="7" t="str">
        <f t="shared" si="5"/>
        <v>Meter2</v>
      </c>
      <c r="J75" s="7" t="str">
        <f t="shared" si="2"/>
        <v>U2</v>
      </c>
    </row>
    <row r="76" spans="1:18" x14ac:dyDescent="0.25">
      <c r="A76" s="2">
        <v>71</v>
      </c>
      <c r="B76" s="3" t="s">
        <v>148</v>
      </c>
      <c r="C76" s="2" t="s">
        <v>149</v>
      </c>
      <c r="D76" s="2" t="s">
        <v>35</v>
      </c>
      <c r="E76" s="3" t="s">
        <v>1317</v>
      </c>
      <c r="I76" s="7" t="str">
        <f t="shared" si="5"/>
        <v>Meter2</v>
      </c>
      <c r="J76" s="7" t="str">
        <f t="shared" ref="J76:J140" si="6">RIGHT(B76, LEN(B76)-SEARCH("_",B76 ))</f>
        <v>U3</v>
      </c>
    </row>
    <row r="77" spans="1:18" x14ac:dyDescent="0.25">
      <c r="A77" s="2">
        <v>72</v>
      </c>
      <c r="B77" s="3" t="s">
        <v>150</v>
      </c>
      <c r="C77" s="2" t="s">
        <v>151</v>
      </c>
      <c r="D77" s="2" t="s">
        <v>35</v>
      </c>
      <c r="E77" s="3" t="s">
        <v>1318</v>
      </c>
      <c r="I77" s="7" t="str">
        <f t="shared" si="5"/>
        <v>Meter2</v>
      </c>
      <c r="J77" s="7" t="str">
        <f t="shared" si="6"/>
        <v>U_Ph</v>
      </c>
    </row>
    <row r="78" spans="1:18" x14ac:dyDescent="0.25">
      <c r="A78" s="2">
        <v>73</v>
      </c>
      <c r="B78" s="3" t="s">
        <v>152</v>
      </c>
      <c r="C78" s="2" t="s">
        <v>153</v>
      </c>
      <c r="D78" s="2" t="s">
        <v>35</v>
      </c>
      <c r="E78" s="3" t="s">
        <v>1319</v>
      </c>
      <c r="I78" s="7" t="str">
        <f t="shared" si="5"/>
        <v>Meter2</v>
      </c>
      <c r="J78" s="7" t="str">
        <f t="shared" si="6"/>
        <v>U12</v>
      </c>
      <c r="O78" t="s">
        <v>1319</v>
      </c>
      <c r="R78" t="s">
        <v>1319</v>
      </c>
    </row>
    <row r="79" spans="1:18" x14ac:dyDescent="0.25">
      <c r="A79" s="2">
        <v>74</v>
      </c>
      <c r="B79" s="3" t="s">
        <v>154</v>
      </c>
      <c r="C79" s="2" t="s">
        <v>155</v>
      </c>
      <c r="D79" s="2" t="s">
        <v>35</v>
      </c>
      <c r="E79" s="3" t="s">
        <v>1320</v>
      </c>
      <c r="I79" s="7" t="str">
        <f t="shared" si="5"/>
        <v>Meter2</v>
      </c>
      <c r="J79" s="7" t="str">
        <f t="shared" si="6"/>
        <v>U23</v>
      </c>
      <c r="O79" t="s">
        <v>1320</v>
      </c>
      <c r="R79" t="s">
        <v>1320</v>
      </c>
    </row>
    <row r="80" spans="1:18" x14ac:dyDescent="0.25">
      <c r="A80" s="2">
        <v>75</v>
      </c>
      <c r="B80" s="3" t="s">
        <v>156</v>
      </c>
      <c r="C80" s="2" t="s">
        <v>157</v>
      </c>
      <c r="D80" s="2" t="s">
        <v>35</v>
      </c>
      <c r="E80" s="3" t="s">
        <v>1321</v>
      </c>
      <c r="I80" s="7" t="str">
        <f t="shared" si="5"/>
        <v>Meter2</v>
      </c>
      <c r="J80" s="7" t="str">
        <f t="shared" si="6"/>
        <v>U31</v>
      </c>
      <c r="O80" t="s">
        <v>1321</v>
      </c>
      <c r="R80" t="s">
        <v>1321</v>
      </c>
    </row>
    <row r="81" spans="1:18" x14ac:dyDescent="0.25">
      <c r="A81" s="2">
        <v>76</v>
      </c>
      <c r="B81" s="3" t="s">
        <v>158</v>
      </c>
      <c r="C81" s="2" t="s">
        <v>159</v>
      </c>
      <c r="D81" s="2" t="s">
        <v>35</v>
      </c>
      <c r="E81" s="3" t="s">
        <v>1322</v>
      </c>
      <c r="I81" s="7" t="str">
        <f t="shared" si="5"/>
        <v>Meter2</v>
      </c>
      <c r="J81" s="7" t="str">
        <f t="shared" si="6"/>
        <v>Uline</v>
      </c>
    </row>
    <row r="82" spans="1:18" x14ac:dyDescent="0.25">
      <c r="A82" s="2">
        <v>77</v>
      </c>
      <c r="B82" s="3" t="s">
        <v>160</v>
      </c>
      <c r="C82" s="2" t="s">
        <v>161</v>
      </c>
      <c r="D82" s="2" t="s">
        <v>35</v>
      </c>
      <c r="E82" s="3" t="s">
        <v>1312</v>
      </c>
      <c r="I82" s="7" t="str">
        <f t="shared" si="5"/>
        <v>Meter2</v>
      </c>
      <c r="J82" s="7" t="str">
        <f t="shared" si="6"/>
        <v>I1</v>
      </c>
      <c r="Q82" s="3" t="s">
        <v>1429</v>
      </c>
      <c r="R82" s="3" t="s">
        <v>1429</v>
      </c>
    </row>
    <row r="83" spans="1:18" x14ac:dyDescent="0.25">
      <c r="A83" s="2">
        <v>78</v>
      </c>
      <c r="B83" s="3" t="s">
        <v>162</v>
      </c>
      <c r="C83" s="2" t="s">
        <v>163</v>
      </c>
      <c r="D83" s="2" t="s">
        <v>35</v>
      </c>
      <c r="E83" s="3" t="s">
        <v>1313</v>
      </c>
      <c r="I83" s="7" t="str">
        <f t="shared" si="5"/>
        <v>Meter2</v>
      </c>
      <c r="J83" s="7" t="str">
        <f t="shared" si="6"/>
        <v>I2</v>
      </c>
      <c r="Q83" s="3" t="s">
        <v>1430</v>
      </c>
      <c r="R83" s="3" t="s">
        <v>1430</v>
      </c>
    </row>
    <row r="84" spans="1:18" x14ac:dyDescent="0.25">
      <c r="A84" s="2">
        <v>79</v>
      </c>
      <c r="B84" s="3" t="s">
        <v>164</v>
      </c>
      <c r="C84" s="2" t="s">
        <v>165</v>
      </c>
      <c r="D84" s="2" t="s">
        <v>35</v>
      </c>
      <c r="E84" s="3" t="s">
        <v>1314</v>
      </c>
      <c r="I84" s="7" t="str">
        <f t="shared" si="5"/>
        <v>Meter2</v>
      </c>
      <c r="J84" s="7" t="str">
        <f t="shared" si="6"/>
        <v>I3</v>
      </c>
      <c r="Q84" s="3" t="s">
        <v>1431</v>
      </c>
      <c r="R84" s="3" t="s">
        <v>1431</v>
      </c>
    </row>
    <row r="85" spans="1:18" x14ac:dyDescent="0.25">
      <c r="A85" s="2">
        <v>80</v>
      </c>
      <c r="B85" s="3" t="s">
        <v>166</v>
      </c>
      <c r="C85" s="2" t="s">
        <v>167</v>
      </c>
      <c r="D85" s="2" t="s">
        <v>35</v>
      </c>
      <c r="E85" s="3" t="s">
        <v>1311</v>
      </c>
      <c r="I85" s="7" t="str">
        <f t="shared" si="5"/>
        <v>Meter2</v>
      </c>
      <c r="J85" s="7" t="str">
        <f t="shared" si="6"/>
        <v>I_ph</v>
      </c>
      <c r="N85" t="s">
        <v>1404</v>
      </c>
      <c r="O85" t="s">
        <v>1404</v>
      </c>
      <c r="R85" t="s">
        <v>1433</v>
      </c>
    </row>
    <row r="86" spans="1:18" x14ac:dyDescent="0.25">
      <c r="A86" s="2">
        <v>81</v>
      </c>
      <c r="B86" s="3" t="s">
        <v>168</v>
      </c>
      <c r="C86" s="2" t="s">
        <v>169</v>
      </c>
      <c r="D86" s="2" t="s">
        <v>35</v>
      </c>
      <c r="E86" s="3" t="s">
        <v>1323</v>
      </c>
      <c r="I86" s="7" t="str">
        <f t="shared" si="5"/>
        <v>Meter2</v>
      </c>
      <c r="J86" s="7" t="str">
        <f t="shared" si="6"/>
        <v>kw1</v>
      </c>
    </row>
    <row r="87" spans="1:18" x14ac:dyDescent="0.25">
      <c r="A87" s="2">
        <v>82</v>
      </c>
      <c r="B87" s="3" t="s">
        <v>170</v>
      </c>
      <c r="C87" s="2" t="s">
        <v>171</v>
      </c>
      <c r="D87" s="2" t="s">
        <v>35</v>
      </c>
      <c r="E87" s="3" t="s">
        <v>1324</v>
      </c>
      <c r="I87" s="7" t="str">
        <f t="shared" si="5"/>
        <v>Meter2</v>
      </c>
      <c r="J87" s="7" t="str">
        <f t="shared" si="6"/>
        <v>kw2</v>
      </c>
    </row>
    <row r="88" spans="1:18" x14ac:dyDescent="0.25">
      <c r="A88" s="2">
        <v>83</v>
      </c>
      <c r="B88" s="3" t="s">
        <v>172</v>
      </c>
      <c r="C88" s="2" t="s">
        <v>173</v>
      </c>
      <c r="D88" s="2" t="s">
        <v>35</v>
      </c>
      <c r="E88" s="3" t="s">
        <v>1325</v>
      </c>
      <c r="I88" s="7" t="str">
        <f t="shared" si="5"/>
        <v>Meter2</v>
      </c>
      <c r="J88" s="7" t="str">
        <f t="shared" si="6"/>
        <v>kw3</v>
      </c>
    </row>
    <row r="89" spans="1:18" x14ac:dyDescent="0.25">
      <c r="A89" s="2">
        <v>84</v>
      </c>
      <c r="B89" s="3" t="s">
        <v>174</v>
      </c>
      <c r="C89" s="2" t="s">
        <v>175</v>
      </c>
      <c r="D89" s="2" t="s">
        <v>35</v>
      </c>
      <c r="E89" s="3" t="s">
        <v>1326</v>
      </c>
      <c r="I89" s="7" t="str">
        <f t="shared" si="5"/>
        <v>Meter2</v>
      </c>
      <c r="J89" s="7" t="str">
        <f t="shared" si="6"/>
        <v>kva1</v>
      </c>
    </row>
    <row r="90" spans="1:18" x14ac:dyDescent="0.25">
      <c r="A90" s="2">
        <v>85</v>
      </c>
      <c r="B90" s="3" t="s">
        <v>176</v>
      </c>
      <c r="C90" s="2" t="s">
        <v>177</v>
      </c>
      <c r="D90" s="2" t="s">
        <v>35</v>
      </c>
      <c r="E90" s="3" t="s">
        <v>1327</v>
      </c>
      <c r="I90" s="7" t="str">
        <f t="shared" si="5"/>
        <v>Meter2</v>
      </c>
      <c r="J90" s="7" t="str">
        <f t="shared" si="6"/>
        <v>kva2</v>
      </c>
    </row>
    <row r="91" spans="1:18" x14ac:dyDescent="0.25">
      <c r="A91" s="2">
        <v>86</v>
      </c>
      <c r="B91" s="3" t="s">
        <v>178</v>
      </c>
      <c r="C91" s="2" t="s">
        <v>179</v>
      </c>
      <c r="D91" s="2" t="s">
        <v>35</v>
      </c>
      <c r="E91" s="3" t="s">
        <v>1328</v>
      </c>
      <c r="I91" s="7" t="str">
        <f t="shared" si="5"/>
        <v>Meter2</v>
      </c>
      <c r="J91" s="7" t="str">
        <f t="shared" si="6"/>
        <v>kva3</v>
      </c>
    </row>
    <row r="92" spans="1:18" x14ac:dyDescent="0.25">
      <c r="A92" s="2">
        <v>87</v>
      </c>
      <c r="B92" s="3" t="s">
        <v>180</v>
      </c>
      <c r="C92" s="2" t="s">
        <v>181</v>
      </c>
      <c r="D92" s="2" t="s">
        <v>35</v>
      </c>
      <c r="E92" s="3" t="s">
        <v>1329</v>
      </c>
      <c r="I92" s="7" t="str">
        <f t="shared" si="5"/>
        <v>Meter2</v>
      </c>
      <c r="J92" s="7" t="str">
        <f t="shared" si="6"/>
        <v>kvar1</v>
      </c>
    </row>
    <row r="93" spans="1:18" x14ac:dyDescent="0.25">
      <c r="A93" s="2">
        <v>88</v>
      </c>
      <c r="B93" s="3" t="s">
        <v>182</v>
      </c>
      <c r="C93" s="2" t="s">
        <v>183</v>
      </c>
      <c r="D93" s="2" t="s">
        <v>35</v>
      </c>
      <c r="E93" s="3" t="s">
        <v>1330</v>
      </c>
      <c r="I93" s="7" t="str">
        <f t="shared" si="5"/>
        <v>Meter2</v>
      </c>
      <c r="J93" s="7" t="str">
        <f t="shared" si="6"/>
        <v>kvar2</v>
      </c>
    </row>
    <row r="94" spans="1:18" x14ac:dyDescent="0.25">
      <c r="A94" s="2">
        <v>89</v>
      </c>
      <c r="B94" s="3" t="s">
        <v>184</v>
      </c>
      <c r="C94" s="2" t="s">
        <v>185</v>
      </c>
      <c r="D94" s="2" t="s">
        <v>35</v>
      </c>
      <c r="E94" s="3" t="s">
        <v>1331</v>
      </c>
      <c r="I94" s="7" t="str">
        <f t="shared" si="5"/>
        <v>Meter2</v>
      </c>
      <c r="J94" s="7" t="str">
        <f t="shared" si="6"/>
        <v>kvar3</v>
      </c>
    </row>
    <row r="95" spans="1:18" x14ac:dyDescent="0.25">
      <c r="A95" s="2">
        <v>90</v>
      </c>
      <c r="B95" s="3" t="s">
        <v>186</v>
      </c>
      <c r="C95" s="2" t="s">
        <v>187</v>
      </c>
      <c r="D95" s="2" t="s">
        <v>35</v>
      </c>
      <c r="E95" s="3" t="s">
        <v>1332</v>
      </c>
      <c r="I95" s="7" t="str">
        <f t="shared" si="5"/>
        <v>Meter2</v>
      </c>
      <c r="J95" s="7" t="str">
        <f t="shared" si="6"/>
        <v>total_kw</v>
      </c>
      <c r="O95" t="s">
        <v>1406</v>
      </c>
      <c r="R95" t="s">
        <v>1406</v>
      </c>
    </row>
    <row r="96" spans="1:18" x14ac:dyDescent="0.25">
      <c r="A96" s="2">
        <v>91</v>
      </c>
      <c r="B96" s="3" t="s">
        <v>188</v>
      </c>
      <c r="C96" s="2" t="s">
        <v>189</v>
      </c>
      <c r="D96" s="2" t="s">
        <v>35</v>
      </c>
      <c r="E96" s="3" t="s">
        <v>1333</v>
      </c>
      <c r="I96" s="7" t="str">
        <f t="shared" si="5"/>
        <v>Meter2</v>
      </c>
      <c r="J96" s="7" t="str">
        <f t="shared" si="6"/>
        <v>total_kva</v>
      </c>
    </row>
    <row r="97" spans="1:18" x14ac:dyDescent="0.25">
      <c r="A97" s="2">
        <v>92</v>
      </c>
      <c r="B97" s="3" t="s">
        <v>190</v>
      </c>
      <c r="C97" s="2" t="s">
        <v>191</v>
      </c>
      <c r="D97" s="2" t="s">
        <v>35</v>
      </c>
      <c r="E97" s="3" t="s">
        <v>1334</v>
      </c>
      <c r="I97" s="7" t="str">
        <f t="shared" si="5"/>
        <v>Meter2</v>
      </c>
      <c r="J97" s="7" t="str">
        <f t="shared" si="6"/>
        <v>total_kvar</v>
      </c>
    </row>
    <row r="98" spans="1:18" x14ac:dyDescent="0.25">
      <c r="A98" s="2">
        <v>93</v>
      </c>
      <c r="B98" s="3" t="s">
        <v>192</v>
      </c>
      <c r="C98" s="2" t="s">
        <v>193</v>
      </c>
      <c r="D98" s="2" t="s">
        <v>35</v>
      </c>
      <c r="E98" s="3" t="s">
        <v>1335</v>
      </c>
      <c r="I98" s="7" t="str">
        <f t="shared" si="5"/>
        <v>Meter2</v>
      </c>
      <c r="J98" s="7" t="str">
        <f t="shared" si="6"/>
        <v>PF1</v>
      </c>
    </row>
    <row r="99" spans="1:18" x14ac:dyDescent="0.25">
      <c r="A99" s="2">
        <v>94</v>
      </c>
      <c r="B99" s="3" t="s">
        <v>194</v>
      </c>
      <c r="C99" s="2" t="s">
        <v>195</v>
      </c>
      <c r="D99" s="2" t="s">
        <v>35</v>
      </c>
      <c r="E99" s="3" t="s">
        <v>1336</v>
      </c>
      <c r="I99" s="7" t="str">
        <f t="shared" si="5"/>
        <v>Meter2</v>
      </c>
      <c r="J99" s="7" t="str">
        <f t="shared" si="6"/>
        <v>PF2</v>
      </c>
    </row>
    <row r="100" spans="1:18" x14ac:dyDescent="0.25">
      <c r="A100" s="2">
        <v>95</v>
      </c>
      <c r="B100" s="3" t="s">
        <v>196</v>
      </c>
      <c r="C100" s="2" t="s">
        <v>197</v>
      </c>
      <c r="D100" s="2" t="s">
        <v>35</v>
      </c>
      <c r="E100" s="3" t="s">
        <v>1337</v>
      </c>
      <c r="I100" s="7" t="str">
        <f t="shared" si="5"/>
        <v>Meter2</v>
      </c>
      <c r="J100" s="7" t="str">
        <f t="shared" si="6"/>
        <v>PF3</v>
      </c>
    </row>
    <row r="101" spans="1:18" x14ac:dyDescent="0.25">
      <c r="A101" s="2">
        <v>96</v>
      </c>
      <c r="B101" s="3" t="s">
        <v>198</v>
      </c>
      <c r="C101" s="2" t="s">
        <v>199</v>
      </c>
      <c r="D101" s="2" t="s">
        <v>35</v>
      </c>
      <c r="E101" s="3" t="s">
        <v>1338</v>
      </c>
      <c r="I101" s="7" t="str">
        <f t="shared" si="5"/>
        <v>Meter2</v>
      </c>
      <c r="J101" s="7" t="str">
        <f t="shared" si="6"/>
        <v>PF</v>
      </c>
      <c r="O101" t="s">
        <v>1405</v>
      </c>
      <c r="R101" t="s">
        <v>1405</v>
      </c>
    </row>
    <row r="102" spans="1:18" x14ac:dyDescent="0.25">
      <c r="A102" s="2">
        <v>97</v>
      </c>
      <c r="B102" s="3" t="s">
        <v>200</v>
      </c>
      <c r="C102" s="2" t="s">
        <v>201</v>
      </c>
      <c r="D102" s="2" t="s">
        <v>35</v>
      </c>
      <c r="E102" s="3" t="s">
        <v>1339</v>
      </c>
      <c r="I102" s="7" t="str">
        <f t="shared" si="5"/>
        <v>Meter2</v>
      </c>
      <c r="J102" s="7" t="str">
        <f t="shared" si="6"/>
        <v>freq</v>
      </c>
      <c r="O102" t="s">
        <v>1339</v>
      </c>
      <c r="R102" t="s">
        <v>1339</v>
      </c>
    </row>
    <row r="103" spans="1:18" x14ac:dyDescent="0.25">
      <c r="A103" s="2">
        <v>98</v>
      </c>
      <c r="B103" s="3" t="s">
        <v>202</v>
      </c>
      <c r="C103" s="2" t="s">
        <v>203</v>
      </c>
      <c r="D103" s="2" t="s">
        <v>35</v>
      </c>
      <c r="E103" s="3" t="s">
        <v>1340</v>
      </c>
      <c r="I103" s="7" t="str">
        <f t="shared" si="5"/>
        <v>Meter2</v>
      </c>
      <c r="J103" s="7" t="str">
        <f t="shared" si="6"/>
        <v>kwh</v>
      </c>
      <c r="O103" t="s">
        <v>1340</v>
      </c>
      <c r="R103" t="s">
        <v>1340</v>
      </c>
    </row>
    <row r="104" spans="1:18" x14ac:dyDescent="0.25">
      <c r="A104" s="2">
        <v>99</v>
      </c>
      <c r="B104" s="3" t="s">
        <v>204</v>
      </c>
      <c r="C104" s="2" t="s">
        <v>205</v>
      </c>
      <c r="D104" s="2" t="s">
        <v>35</v>
      </c>
      <c r="E104" s="3" t="s">
        <v>1341</v>
      </c>
      <c r="I104" s="7" t="str">
        <f t="shared" si="5"/>
        <v>Meter2</v>
      </c>
      <c r="J104" s="7" t="str">
        <f t="shared" si="6"/>
        <v>kvah</v>
      </c>
    </row>
    <row r="105" spans="1:18" x14ac:dyDescent="0.25">
      <c r="A105" s="2">
        <v>100</v>
      </c>
      <c r="B105" s="3" t="s">
        <v>206</v>
      </c>
      <c r="C105" s="2" t="s">
        <v>207</v>
      </c>
      <c r="D105" s="2" t="s">
        <v>35</v>
      </c>
      <c r="E105" s="3" t="s">
        <v>1342</v>
      </c>
      <c r="I105" s="7" t="str">
        <f t="shared" si="5"/>
        <v>Meter2</v>
      </c>
      <c r="J105" s="7" t="str">
        <f t="shared" si="6"/>
        <v>kvarh</v>
      </c>
    </row>
    <row r="106" spans="1:18" x14ac:dyDescent="0.25">
      <c r="A106" s="2">
        <v>101</v>
      </c>
      <c r="B106" s="3" t="s">
        <v>208</v>
      </c>
      <c r="C106" s="2" t="s">
        <v>209</v>
      </c>
      <c r="D106" s="2" t="s">
        <v>7</v>
      </c>
      <c r="E106" s="3" t="s">
        <v>1343</v>
      </c>
      <c r="I106" s="7" t="str">
        <f t="shared" si="5"/>
        <v>Pump2</v>
      </c>
      <c r="J106" s="7" t="str">
        <f t="shared" si="6"/>
        <v>Ctrl_run_Pump</v>
      </c>
    </row>
    <row r="107" spans="1:18" x14ac:dyDescent="0.25">
      <c r="A107" s="2">
        <v>102</v>
      </c>
      <c r="B107" s="3" t="s">
        <v>210</v>
      </c>
      <c r="C107" s="2" t="s">
        <v>211</v>
      </c>
      <c r="D107" s="2" t="s">
        <v>7</v>
      </c>
      <c r="E107" s="3" t="s">
        <v>1354</v>
      </c>
      <c r="I107" s="7" t="str">
        <f t="shared" si="5"/>
        <v>Pump2</v>
      </c>
      <c r="J107" s="7" t="str">
        <f t="shared" si="6"/>
        <v>FB_Fault</v>
      </c>
      <c r="L107" s="11"/>
      <c r="P107" t="s">
        <v>1397</v>
      </c>
    </row>
    <row r="108" spans="1:18" x14ac:dyDescent="0.25">
      <c r="A108" s="2">
        <v>103</v>
      </c>
      <c r="B108" s="3" t="s">
        <v>212</v>
      </c>
      <c r="C108" s="2" t="s">
        <v>213</v>
      </c>
      <c r="D108" s="2" t="s">
        <v>7</v>
      </c>
      <c r="E108" s="3" t="s">
        <v>1344</v>
      </c>
      <c r="I108" s="7" t="str">
        <f t="shared" si="5"/>
        <v>Pump2</v>
      </c>
      <c r="J108" s="7" t="str">
        <f t="shared" si="6"/>
        <v>Ctrl_PB_Run</v>
      </c>
    </row>
    <row r="109" spans="1:18" x14ac:dyDescent="0.25">
      <c r="A109" s="2">
        <v>104</v>
      </c>
      <c r="B109" s="3" t="s">
        <v>214</v>
      </c>
      <c r="C109" s="2" t="s">
        <v>215</v>
      </c>
      <c r="D109" s="2" t="s">
        <v>7</v>
      </c>
      <c r="E109" s="3" t="s">
        <v>1345</v>
      </c>
      <c r="I109" s="7" t="str">
        <f t="shared" si="5"/>
        <v>Pump2</v>
      </c>
      <c r="J109" s="7" t="str">
        <f t="shared" si="6"/>
        <v>Ctrl_PB_Stop</v>
      </c>
    </row>
    <row r="110" spans="1:18" x14ac:dyDescent="0.25">
      <c r="A110" s="2">
        <v>105</v>
      </c>
      <c r="B110" s="3" t="s">
        <v>216</v>
      </c>
      <c r="C110" s="2" t="s">
        <v>217</v>
      </c>
      <c r="D110" s="2" t="s">
        <v>7</v>
      </c>
      <c r="E110" s="3" t="s">
        <v>1346</v>
      </c>
      <c r="I110" s="7" t="str">
        <f t="shared" si="5"/>
        <v>Pump2</v>
      </c>
      <c r="J110" s="7" t="str">
        <f t="shared" si="6"/>
        <v>Ctrl_PB_RST</v>
      </c>
    </row>
    <row r="111" spans="1:18" x14ac:dyDescent="0.25">
      <c r="A111" s="2">
        <v>106</v>
      </c>
      <c r="B111" s="3" t="s">
        <v>218</v>
      </c>
      <c r="C111" s="2" t="s">
        <v>219</v>
      </c>
      <c r="D111" s="2" t="s">
        <v>24</v>
      </c>
      <c r="E111" s="3" t="s">
        <v>1347</v>
      </c>
      <c r="I111" s="7" t="str">
        <f t="shared" si="5"/>
        <v>Pump2</v>
      </c>
      <c r="J111" s="7" t="str">
        <f t="shared" si="6"/>
        <v>Time_Run_M</v>
      </c>
      <c r="O111" s="20" t="s">
        <v>1417</v>
      </c>
    </row>
    <row r="112" spans="1:18" x14ac:dyDescent="0.25">
      <c r="A112" s="2">
        <v>107</v>
      </c>
      <c r="B112" s="3" t="s">
        <v>220</v>
      </c>
      <c r="C112" s="2" t="s">
        <v>221</v>
      </c>
      <c r="D112" s="2" t="s">
        <v>24</v>
      </c>
      <c r="E112" s="3" t="s">
        <v>1348</v>
      </c>
      <c r="I112" s="7" t="str">
        <f t="shared" si="5"/>
        <v>Pump2</v>
      </c>
      <c r="J112" s="7" t="str">
        <f t="shared" si="6"/>
        <v>Time_Run_H</v>
      </c>
      <c r="O112" s="20"/>
    </row>
    <row r="113" spans="1:18" x14ac:dyDescent="0.25">
      <c r="A113" s="2">
        <v>108</v>
      </c>
      <c r="B113" s="3" t="s">
        <v>222</v>
      </c>
      <c r="C113" s="2" t="s">
        <v>223</v>
      </c>
      <c r="D113" s="2" t="s">
        <v>24</v>
      </c>
      <c r="E113" s="3" t="s">
        <v>1349</v>
      </c>
      <c r="I113" s="7" t="str">
        <f t="shared" si="5"/>
        <v>Pump2</v>
      </c>
      <c r="J113" s="7" t="str">
        <f t="shared" si="6"/>
        <v>Total_Time_Run_M</v>
      </c>
      <c r="O113" s="20" t="s">
        <v>1418</v>
      </c>
    </row>
    <row r="114" spans="1:18" x14ac:dyDescent="0.25">
      <c r="A114" s="2">
        <v>109</v>
      </c>
      <c r="B114" s="3" t="s">
        <v>224</v>
      </c>
      <c r="C114" s="2" t="s">
        <v>225</v>
      </c>
      <c r="D114" s="2" t="s">
        <v>24</v>
      </c>
      <c r="E114" s="3" t="s">
        <v>1350</v>
      </c>
      <c r="I114" s="7" t="str">
        <f t="shared" si="5"/>
        <v>Pump2</v>
      </c>
      <c r="J114" s="7" t="str">
        <f t="shared" si="6"/>
        <v>Total_Time_Run_H</v>
      </c>
      <c r="N114" t="s">
        <v>1407</v>
      </c>
      <c r="O114" s="20"/>
    </row>
    <row r="115" spans="1:18" x14ac:dyDescent="0.25">
      <c r="A115" s="2">
        <v>110</v>
      </c>
      <c r="B115" s="3" t="s">
        <v>226</v>
      </c>
      <c r="C115" s="2" t="s">
        <v>227</v>
      </c>
      <c r="D115" s="2" t="s">
        <v>24</v>
      </c>
      <c r="E115" s="3" t="s">
        <v>1351</v>
      </c>
      <c r="I115" s="7" t="str">
        <f t="shared" si="5"/>
        <v>Pump2</v>
      </c>
      <c r="J115" s="7" t="str">
        <f t="shared" si="6"/>
        <v>NumberOfclose</v>
      </c>
    </row>
    <row r="116" spans="1:18" x14ac:dyDescent="0.25">
      <c r="A116" s="2">
        <v>111</v>
      </c>
      <c r="B116" s="3" t="s">
        <v>228</v>
      </c>
      <c r="C116" s="2" t="s">
        <v>229</v>
      </c>
      <c r="D116" s="2" t="s">
        <v>7</v>
      </c>
      <c r="E116" s="3" t="s">
        <v>1355</v>
      </c>
      <c r="I116" s="7" t="str">
        <f t="shared" si="5"/>
        <v>Pump3</v>
      </c>
      <c r="J116" s="7" t="str">
        <f t="shared" si="6"/>
        <v>FB_auto</v>
      </c>
    </row>
    <row r="117" spans="1:18" x14ac:dyDescent="0.25">
      <c r="A117" s="2">
        <v>112</v>
      </c>
      <c r="B117" s="3" t="s">
        <v>230</v>
      </c>
      <c r="C117" s="2" t="s">
        <v>231</v>
      </c>
      <c r="D117" s="2" t="s">
        <v>7</v>
      </c>
      <c r="E117" s="3" t="s">
        <v>1306</v>
      </c>
      <c r="I117" s="7" t="str">
        <f t="shared" si="5"/>
        <v>Pump3</v>
      </c>
      <c r="J117" s="7" t="str">
        <f t="shared" si="6"/>
        <v>FB_Run</v>
      </c>
      <c r="L117" s="9"/>
      <c r="M117" t="s">
        <v>1397</v>
      </c>
      <c r="N117" t="s">
        <v>1397</v>
      </c>
      <c r="O117" t="s">
        <v>1397</v>
      </c>
    </row>
    <row r="118" spans="1:18" x14ac:dyDescent="0.25">
      <c r="A118" s="2">
        <v>113</v>
      </c>
      <c r="B118" s="3" t="s">
        <v>232</v>
      </c>
      <c r="C118" s="2" t="s">
        <v>233</v>
      </c>
      <c r="D118" s="2" t="s">
        <v>7</v>
      </c>
      <c r="E118" s="3" t="s">
        <v>1307</v>
      </c>
      <c r="I118" s="7" t="str">
        <f t="shared" si="5"/>
        <v>Pump3</v>
      </c>
      <c r="J118" s="7" t="str">
        <f t="shared" si="6"/>
        <v>FB_Fault_V</v>
      </c>
      <c r="P118" t="s">
        <v>1397</v>
      </c>
    </row>
    <row r="119" spans="1:18" x14ac:dyDescent="0.25">
      <c r="A119" s="2">
        <v>114</v>
      </c>
      <c r="B119" s="3" t="s">
        <v>234</v>
      </c>
      <c r="C119" s="2" t="s">
        <v>235</v>
      </c>
      <c r="D119" s="2" t="s">
        <v>7</v>
      </c>
      <c r="E119" s="3" t="s">
        <v>1307</v>
      </c>
      <c r="I119" s="7" t="str">
        <f t="shared" si="5"/>
        <v>Pump3</v>
      </c>
      <c r="J119" s="7" t="str">
        <f t="shared" si="6"/>
        <v>FB_Fault_SS</v>
      </c>
      <c r="M119" t="s">
        <v>1397</v>
      </c>
      <c r="P119" t="s">
        <v>1397</v>
      </c>
    </row>
    <row r="120" spans="1:18" x14ac:dyDescent="0.25">
      <c r="A120" s="2">
        <v>115</v>
      </c>
      <c r="B120" s="3" t="s">
        <v>236</v>
      </c>
      <c r="C120" s="2" t="s">
        <v>237</v>
      </c>
      <c r="D120" s="2" t="s">
        <v>7</v>
      </c>
      <c r="E120" s="3" t="s">
        <v>1356</v>
      </c>
      <c r="I120" s="7" t="str">
        <f t="shared" si="5"/>
        <v>Pump3</v>
      </c>
      <c r="J120" s="7" t="str">
        <f t="shared" si="6"/>
        <v>FB_Fault_Temp</v>
      </c>
      <c r="P120" t="s">
        <v>1397</v>
      </c>
    </row>
    <row r="121" spans="1:18" x14ac:dyDescent="0.25">
      <c r="A121" s="2">
        <v>116</v>
      </c>
      <c r="B121" s="3" t="s">
        <v>238</v>
      </c>
      <c r="C121" s="2" t="s">
        <v>239</v>
      </c>
      <c r="D121" s="2" t="s">
        <v>7</v>
      </c>
      <c r="E121" s="3" t="s">
        <v>1307</v>
      </c>
      <c r="I121" s="7" t="str">
        <f t="shared" si="5"/>
        <v>Pump3</v>
      </c>
      <c r="J121" s="7" t="str">
        <f t="shared" si="6"/>
        <v>FB_Fault_Curent</v>
      </c>
      <c r="P121" t="s">
        <v>1397</v>
      </c>
    </row>
    <row r="122" spans="1:18" x14ac:dyDescent="0.25">
      <c r="A122" s="2">
        <v>117</v>
      </c>
      <c r="B122" s="3" t="s">
        <v>240</v>
      </c>
      <c r="C122" s="2" t="s">
        <v>241</v>
      </c>
      <c r="D122" s="2" t="s">
        <v>7</v>
      </c>
      <c r="E122" s="3" t="s">
        <v>1357</v>
      </c>
      <c r="I122" s="7" t="str">
        <f t="shared" si="5"/>
        <v>Pump3</v>
      </c>
      <c r="J122" s="7" t="str">
        <f t="shared" si="6"/>
        <v>Clock_1m</v>
      </c>
    </row>
    <row r="123" spans="1:18" x14ac:dyDescent="0.25">
      <c r="A123" s="2">
        <v>118</v>
      </c>
      <c r="B123" s="3" t="s">
        <v>242</v>
      </c>
      <c r="C123" s="2" t="s">
        <v>243</v>
      </c>
      <c r="D123" s="2" t="s">
        <v>7</v>
      </c>
      <c r="E123" s="3" t="s">
        <v>1358</v>
      </c>
      <c r="I123" s="7" t="str">
        <f t="shared" si="5"/>
        <v>Pump3</v>
      </c>
      <c r="J123" s="7" t="str">
        <f t="shared" si="6"/>
        <v>FB_stop</v>
      </c>
      <c r="L123" s="10"/>
      <c r="M123" t="s">
        <v>1397</v>
      </c>
      <c r="N123" t="s">
        <v>1397</v>
      </c>
      <c r="O123" t="s">
        <v>1397</v>
      </c>
    </row>
    <row r="124" spans="1:18" x14ac:dyDescent="0.25">
      <c r="A124" s="2">
        <v>8</v>
      </c>
      <c r="B124" s="12" t="s">
        <v>1435</v>
      </c>
      <c r="C124" s="2" t="s">
        <v>21</v>
      </c>
      <c r="D124" s="2" t="s">
        <v>7</v>
      </c>
      <c r="E124" s="3" t="s">
        <v>1393</v>
      </c>
      <c r="I124" s="7" t="str">
        <f t="shared" si="5"/>
        <v>Pump3</v>
      </c>
      <c r="J124" s="7" t="str">
        <f t="shared" si="6"/>
        <v>FB_maintenance</v>
      </c>
      <c r="L124" s="13"/>
      <c r="M124" t="s">
        <v>1397</v>
      </c>
      <c r="N124" t="s">
        <v>1397</v>
      </c>
      <c r="O124" t="s">
        <v>1397</v>
      </c>
    </row>
    <row r="125" spans="1:18" x14ac:dyDescent="0.25">
      <c r="A125" s="2">
        <v>119</v>
      </c>
      <c r="B125" s="3" t="s">
        <v>244</v>
      </c>
      <c r="C125" s="2" t="s">
        <v>245</v>
      </c>
      <c r="D125" s="2" t="s">
        <v>24</v>
      </c>
      <c r="E125" s="3" t="s">
        <v>1352</v>
      </c>
      <c r="I125" s="7" t="str">
        <f t="shared" si="5"/>
        <v>Pump3</v>
      </c>
      <c r="J125" s="7" t="str">
        <f t="shared" si="6"/>
        <v>FB_Temp_DEBearing</v>
      </c>
      <c r="O125" t="s">
        <v>1399</v>
      </c>
      <c r="Q125" t="s">
        <v>1424</v>
      </c>
      <c r="R125" t="s">
        <v>1424</v>
      </c>
    </row>
    <row r="126" spans="1:18" x14ac:dyDescent="0.25">
      <c r="A126" s="2">
        <v>120</v>
      </c>
      <c r="B126" s="3" t="s">
        <v>246</v>
      </c>
      <c r="C126" s="2" t="s">
        <v>247</v>
      </c>
      <c r="D126" s="2" t="s">
        <v>24</v>
      </c>
      <c r="E126" s="3" t="s">
        <v>1353</v>
      </c>
      <c r="I126" s="7" t="str">
        <f t="shared" si="5"/>
        <v>Pump3</v>
      </c>
      <c r="J126" s="7" t="str">
        <f t="shared" si="6"/>
        <v>FB_Temp_NDEBearing</v>
      </c>
      <c r="O126" t="s">
        <v>1400</v>
      </c>
      <c r="Q126" t="s">
        <v>1425</v>
      </c>
      <c r="R126" t="s">
        <v>1425</v>
      </c>
    </row>
    <row r="127" spans="1:18" x14ac:dyDescent="0.25">
      <c r="A127" s="2">
        <v>121</v>
      </c>
      <c r="B127" s="3" t="s">
        <v>248</v>
      </c>
      <c r="C127" s="2" t="s">
        <v>249</v>
      </c>
      <c r="D127" s="2" t="s">
        <v>24</v>
      </c>
      <c r="E127" s="3" t="s">
        <v>1308</v>
      </c>
      <c r="I127" s="7" t="str">
        <f t="shared" si="5"/>
        <v>Pump3</v>
      </c>
      <c r="J127" s="7" t="str">
        <f t="shared" si="6"/>
        <v>FB_Temp_PhaseA</v>
      </c>
      <c r="O127" t="s">
        <v>1401</v>
      </c>
      <c r="Q127" t="s">
        <v>1426</v>
      </c>
      <c r="R127" t="s">
        <v>1426</v>
      </c>
    </row>
    <row r="128" spans="1:18" x14ac:dyDescent="0.25">
      <c r="A128" s="2">
        <v>122</v>
      </c>
      <c r="B128" s="3" t="s">
        <v>250</v>
      </c>
      <c r="C128" s="2" t="s">
        <v>251</v>
      </c>
      <c r="D128" s="2" t="s">
        <v>24</v>
      </c>
      <c r="E128" s="3" t="s">
        <v>1309</v>
      </c>
      <c r="I128" s="7" t="str">
        <f t="shared" si="5"/>
        <v>Pump3</v>
      </c>
      <c r="J128" s="7" t="str">
        <f t="shared" si="6"/>
        <v>FB_Temp_PhaseB</v>
      </c>
      <c r="O128" t="s">
        <v>1402</v>
      </c>
      <c r="Q128" t="s">
        <v>1427</v>
      </c>
      <c r="R128" t="s">
        <v>1427</v>
      </c>
    </row>
    <row r="129" spans="1:18" x14ac:dyDescent="0.25">
      <c r="A129" s="2">
        <v>123</v>
      </c>
      <c r="B129" s="3" t="s">
        <v>252</v>
      </c>
      <c r="C129" s="2" t="s">
        <v>253</v>
      </c>
      <c r="D129" s="2" t="s">
        <v>24</v>
      </c>
      <c r="E129" s="3" t="s">
        <v>1310</v>
      </c>
      <c r="I129" s="7" t="str">
        <f t="shared" si="5"/>
        <v>Pump3</v>
      </c>
      <c r="J129" s="7" t="str">
        <f t="shared" si="6"/>
        <v>FB_Temp_PhaseC</v>
      </c>
      <c r="O129" t="s">
        <v>1403</v>
      </c>
      <c r="Q129" t="s">
        <v>1428</v>
      </c>
      <c r="R129" t="s">
        <v>1428</v>
      </c>
    </row>
    <row r="130" spans="1:18" x14ac:dyDescent="0.25">
      <c r="A130" s="2">
        <v>124</v>
      </c>
      <c r="B130" s="3" t="s">
        <v>254</v>
      </c>
      <c r="C130" s="2" t="s">
        <v>255</v>
      </c>
      <c r="D130" s="2" t="s">
        <v>35</v>
      </c>
      <c r="E130" s="3" t="s">
        <v>1315</v>
      </c>
      <c r="I130" s="7" t="str">
        <f t="shared" si="5"/>
        <v>Meter3</v>
      </c>
      <c r="J130" s="7" t="str">
        <f t="shared" si="6"/>
        <v>U1</v>
      </c>
    </row>
    <row r="131" spans="1:18" x14ac:dyDescent="0.25">
      <c r="A131" s="2">
        <v>125</v>
      </c>
      <c r="B131" s="3" t="s">
        <v>256</v>
      </c>
      <c r="C131" s="2" t="s">
        <v>257</v>
      </c>
      <c r="D131" s="2" t="s">
        <v>35</v>
      </c>
      <c r="E131" s="3" t="s">
        <v>1316</v>
      </c>
      <c r="I131" s="7" t="str">
        <f t="shared" si="5"/>
        <v>Meter3</v>
      </c>
      <c r="J131" s="7" t="str">
        <f t="shared" si="6"/>
        <v>U2</v>
      </c>
    </row>
    <row r="132" spans="1:18" x14ac:dyDescent="0.25">
      <c r="A132" s="2">
        <v>126</v>
      </c>
      <c r="B132" s="3" t="s">
        <v>258</v>
      </c>
      <c r="C132" s="2" t="s">
        <v>259</v>
      </c>
      <c r="D132" s="2" t="s">
        <v>35</v>
      </c>
      <c r="E132" s="3" t="s">
        <v>1317</v>
      </c>
      <c r="I132" s="7" t="str">
        <f t="shared" si="5"/>
        <v>Meter3</v>
      </c>
      <c r="J132" s="7" t="str">
        <f t="shared" si="6"/>
        <v>U3</v>
      </c>
    </row>
    <row r="133" spans="1:18" x14ac:dyDescent="0.25">
      <c r="A133" s="2">
        <v>127</v>
      </c>
      <c r="B133" s="3" t="s">
        <v>260</v>
      </c>
      <c r="C133" s="2" t="s">
        <v>261</v>
      </c>
      <c r="D133" s="2" t="s">
        <v>35</v>
      </c>
      <c r="E133" s="3" t="s">
        <v>1318</v>
      </c>
      <c r="I133" s="7" t="str">
        <f t="shared" si="5"/>
        <v>Meter3</v>
      </c>
      <c r="J133" s="7" t="str">
        <f t="shared" si="6"/>
        <v>U_Ph</v>
      </c>
    </row>
    <row r="134" spans="1:18" x14ac:dyDescent="0.25">
      <c r="A134" s="2">
        <v>128</v>
      </c>
      <c r="B134" s="3" t="s">
        <v>262</v>
      </c>
      <c r="C134" s="2" t="s">
        <v>263</v>
      </c>
      <c r="D134" s="2" t="s">
        <v>35</v>
      </c>
      <c r="E134" s="3" t="s">
        <v>1319</v>
      </c>
      <c r="I134" s="7" t="str">
        <f t="shared" si="5"/>
        <v>Meter3</v>
      </c>
      <c r="J134" s="7" t="str">
        <f t="shared" si="6"/>
        <v>U12</v>
      </c>
      <c r="O134" t="s">
        <v>1319</v>
      </c>
      <c r="R134" t="s">
        <v>1319</v>
      </c>
    </row>
    <row r="135" spans="1:18" x14ac:dyDescent="0.25">
      <c r="A135" s="2">
        <v>129</v>
      </c>
      <c r="B135" s="3" t="s">
        <v>264</v>
      </c>
      <c r="C135" s="2" t="s">
        <v>265</v>
      </c>
      <c r="D135" s="2" t="s">
        <v>35</v>
      </c>
      <c r="E135" s="3" t="s">
        <v>1320</v>
      </c>
      <c r="I135" s="7" t="str">
        <f t="shared" si="5"/>
        <v>Meter3</v>
      </c>
      <c r="J135" s="7" t="str">
        <f t="shared" si="6"/>
        <v>U23</v>
      </c>
      <c r="O135" t="s">
        <v>1320</v>
      </c>
      <c r="R135" t="s">
        <v>1320</v>
      </c>
    </row>
    <row r="136" spans="1:18" x14ac:dyDescent="0.25">
      <c r="A136" s="2">
        <v>130</v>
      </c>
      <c r="B136" s="3" t="s">
        <v>266</v>
      </c>
      <c r="C136" s="2" t="s">
        <v>267</v>
      </c>
      <c r="D136" s="2" t="s">
        <v>35</v>
      </c>
      <c r="E136" s="3" t="s">
        <v>1321</v>
      </c>
      <c r="I136" s="7" t="str">
        <f t="shared" ref="I136:I200" si="7">LEFT(B136, SEARCH("_",B136 ) - 1)</f>
        <v>Meter3</v>
      </c>
      <c r="J136" s="7" t="str">
        <f t="shared" si="6"/>
        <v>U31</v>
      </c>
      <c r="O136" t="s">
        <v>1321</v>
      </c>
      <c r="R136" t="s">
        <v>1321</v>
      </c>
    </row>
    <row r="137" spans="1:18" x14ac:dyDescent="0.25">
      <c r="A137" s="2">
        <v>131</v>
      </c>
      <c r="B137" s="3" t="s">
        <v>268</v>
      </c>
      <c r="C137" s="2" t="s">
        <v>269</v>
      </c>
      <c r="D137" s="2" t="s">
        <v>35</v>
      </c>
      <c r="E137" s="3" t="s">
        <v>1322</v>
      </c>
      <c r="I137" s="7" t="str">
        <f t="shared" si="7"/>
        <v>Meter3</v>
      </c>
      <c r="J137" s="7" t="str">
        <f t="shared" si="6"/>
        <v>Uline</v>
      </c>
    </row>
    <row r="138" spans="1:18" x14ac:dyDescent="0.25">
      <c r="A138" s="2">
        <v>132</v>
      </c>
      <c r="B138" s="3" t="s">
        <v>270</v>
      </c>
      <c r="C138" s="2" t="s">
        <v>271</v>
      </c>
      <c r="D138" s="2" t="s">
        <v>35</v>
      </c>
      <c r="E138" s="3" t="s">
        <v>1312</v>
      </c>
      <c r="I138" s="7" t="str">
        <f t="shared" si="7"/>
        <v>Meter3</v>
      </c>
      <c r="J138" s="7" t="str">
        <f t="shared" si="6"/>
        <v>I1</v>
      </c>
      <c r="Q138" s="3" t="s">
        <v>1429</v>
      </c>
      <c r="R138" s="3" t="s">
        <v>1429</v>
      </c>
    </row>
    <row r="139" spans="1:18" x14ac:dyDescent="0.25">
      <c r="A139" s="2">
        <v>133</v>
      </c>
      <c r="B139" s="3" t="s">
        <v>272</v>
      </c>
      <c r="C139" s="2" t="s">
        <v>273</v>
      </c>
      <c r="D139" s="2" t="s">
        <v>35</v>
      </c>
      <c r="E139" s="3" t="s">
        <v>1313</v>
      </c>
      <c r="I139" s="7" t="str">
        <f t="shared" si="7"/>
        <v>Meter3</v>
      </c>
      <c r="J139" s="7" t="str">
        <f t="shared" si="6"/>
        <v>I2</v>
      </c>
      <c r="Q139" s="3" t="s">
        <v>1430</v>
      </c>
      <c r="R139" s="3" t="s">
        <v>1430</v>
      </c>
    </row>
    <row r="140" spans="1:18" x14ac:dyDescent="0.25">
      <c r="A140" s="2">
        <v>134</v>
      </c>
      <c r="B140" s="3" t="s">
        <v>274</v>
      </c>
      <c r="C140" s="2" t="s">
        <v>275</v>
      </c>
      <c r="D140" s="2" t="s">
        <v>35</v>
      </c>
      <c r="E140" s="3" t="s">
        <v>1314</v>
      </c>
      <c r="I140" s="7" t="str">
        <f t="shared" si="7"/>
        <v>Meter3</v>
      </c>
      <c r="J140" s="7" t="str">
        <f t="shared" si="6"/>
        <v>I3</v>
      </c>
      <c r="Q140" s="3" t="s">
        <v>1431</v>
      </c>
      <c r="R140" s="3" t="s">
        <v>1431</v>
      </c>
    </row>
    <row r="141" spans="1:18" x14ac:dyDescent="0.25">
      <c r="A141" s="2">
        <v>135</v>
      </c>
      <c r="B141" s="3" t="s">
        <v>276</v>
      </c>
      <c r="C141" s="2" t="s">
        <v>277</v>
      </c>
      <c r="D141" s="2" t="s">
        <v>35</v>
      </c>
      <c r="E141" s="3" t="s">
        <v>1311</v>
      </c>
      <c r="I141" s="7" t="str">
        <f t="shared" si="7"/>
        <v>Meter3</v>
      </c>
      <c r="J141" s="7" t="str">
        <f t="shared" ref="J141:J205" si="8">RIGHT(B141, LEN(B141)-SEARCH("_",B141 ))</f>
        <v>I_ph</v>
      </c>
      <c r="N141" t="s">
        <v>1404</v>
      </c>
      <c r="O141" t="s">
        <v>1404</v>
      </c>
      <c r="R141" t="s">
        <v>1433</v>
      </c>
    </row>
    <row r="142" spans="1:18" x14ac:dyDescent="0.25">
      <c r="A142" s="2">
        <v>136</v>
      </c>
      <c r="B142" s="3" t="s">
        <v>278</v>
      </c>
      <c r="C142" s="2" t="s">
        <v>279</v>
      </c>
      <c r="D142" s="2" t="s">
        <v>35</v>
      </c>
      <c r="E142" s="3" t="s">
        <v>1323</v>
      </c>
      <c r="I142" s="7" t="str">
        <f t="shared" si="7"/>
        <v>Meter3</v>
      </c>
      <c r="J142" s="7" t="str">
        <f t="shared" si="8"/>
        <v>kw1</v>
      </c>
    </row>
    <row r="143" spans="1:18" x14ac:dyDescent="0.25">
      <c r="A143" s="2">
        <v>137</v>
      </c>
      <c r="B143" s="3" t="s">
        <v>280</v>
      </c>
      <c r="C143" s="2" t="s">
        <v>281</v>
      </c>
      <c r="D143" s="2" t="s">
        <v>35</v>
      </c>
      <c r="E143" s="3" t="s">
        <v>1324</v>
      </c>
      <c r="I143" s="7" t="str">
        <f t="shared" si="7"/>
        <v>Meter3</v>
      </c>
      <c r="J143" s="7" t="str">
        <f t="shared" si="8"/>
        <v>kw2</v>
      </c>
    </row>
    <row r="144" spans="1:18" x14ac:dyDescent="0.25">
      <c r="A144" s="2">
        <v>138</v>
      </c>
      <c r="B144" s="3" t="s">
        <v>282</v>
      </c>
      <c r="C144" s="2" t="s">
        <v>283</v>
      </c>
      <c r="D144" s="2" t="s">
        <v>35</v>
      </c>
      <c r="E144" s="3" t="s">
        <v>1325</v>
      </c>
      <c r="I144" s="7" t="str">
        <f t="shared" si="7"/>
        <v>Meter3</v>
      </c>
      <c r="J144" s="7" t="str">
        <f t="shared" si="8"/>
        <v>kw3</v>
      </c>
    </row>
    <row r="145" spans="1:18" x14ac:dyDescent="0.25">
      <c r="A145" s="2">
        <v>139</v>
      </c>
      <c r="B145" s="3" t="s">
        <v>284</v>
      </c>
      <c r="C145" s="2" t="s">
        <v>285</v>
      </c>
      <c r="D145" s="2" t="s">
        <v>35</v>
      </c>
      <c r="E145" s="3" t="s">
        <v>1326</v>
      </c>
      <c r="I145" s="7" t="str">
        <f t="shared" si="7"/>
        <v>Meter3</v>
      </c>
      <c r="J145" s="7" t="str">
        <f t="shared" si="8"/>
        <v>kva1</v>
      </c>
    </row>
    <row r="146" spans="1:18" x14ac:dyDescent="0.25">
      <c r="A146" s="2">
        <v>140</v>
      </c>
      <c r="B146" s="3" t="s">
        <v>286</v>
      </c>
      <c r="C146" s="2" t="s">
        <v>287</v>
      </c>
      <c r="D146" s="2" t="s">
        <v>35</v>
      </c>
      <c r="E146" s="3" t="s">
        <v>1327</v>
      </c>
      <c r="I146" s="7" t="str">
        <f t="shared" si="7"/>
        <v>Meter3</v>
      </c>
      <c r="J146" s="7" t="str">
        <f t="shared" si="8"/>
        <v>kva2</v>
      </c>
    </row>
    <row r="147" spans="1:18" x14ac:dyDescent="0.25">
      <c r="A147" s="2">
        <v>141</v>
      </c>
      <c r="B147" s="3" t="s">
        <v>288</v>
      </c>
      <c r="C147" s="2" t="s">
        <v>289</v>
      </c>
      <c r="D147" s="2" t="s">
        <v>35</v>
      </c>
      <c r="E147" s="3" t="s">
        <v>1328</v>
      </c>
      <c r="I147" s="7" t="str">
        <f t="shared" si="7"/>
        <v>Meter3</v>
      </c>
      <c r="J147" s="7" t="str">
        <f t="shared" si="8"/>
        <v>kva3</v>
      </c>
    </row>
    <row r="148" spans="1:18" x14ac:dyDescent="0.25">
      <c r="A148" s="2">
        <v>142</v>
      </c>
      <c r="B148" s="3" t="s">
        <v>290</v>
      </c>
      <c r="C148" s="2" t="s">
        <v>291</v>
      </c>
      <c r="D148" s="2" t="s">
        <v>35</v>
      </c>
      <c r="E148" s="3" t="s">
        <v>1329</v>
      </c>
      <c r="I148" s="7" t="str">
        <f t="shared" si="7"/>
        <v>Meter3</v>
      </c>
      <c r="J148" s="7" t="str">
        <f t="shared" si="8"/>
        <v>kvar1</v>
      </c>
    </row>
    <row r="149" spans="1:18" x14ac:dyDescent="0.25">
      <c r="A149" s="2">
        <v>143</v>
      </c>
      <c r="B149" s="3" t="s">
        <v>292</v>
      </c>
      <c r="C149" s="2" t="s">
        <v>293</v>
      </c>
      <c r="D149" s="2" t="s">
        <v>35</v>
      </c>
      <c r="E149" s="3" t="s">
        <v>1330</v>
      </c>
      <c r="I149" s="7" t="str">
        <f t="shared" si="7"/>
        <v>Meter3</v>
      </c>
      <c r="J149" s="7" t="str">
        <f t="shared" si="8"/>
        <v>kvar2</v>
      </c>
    </row>
    <row r="150" spans="1:18" x14ac:dyDescent="0.25">
      <c r="A150" s="2">
        <v>144</v>
      </c>
      <c r="B150" s="3" t="s">
        <v>294</v>
      </c>
      <c r="C150" s="2" t="s">
        <v>295</v>
      </c>
      <c r="D150" s="2" t="s">
        <v>35</v>
      </c>
      <c r="E150" s="3" t="s">
        <v>1331</v>
      </c>
      <c r="I150" s="7" t="str">
        <f t="shared" si="7"/>
        <v>Meter3</v>
      </c>
      <c r="J150" s="7" t="str">
        <f t="shared" si="8"/>
        <v>kvar3</v>
      </c>
    </row>
    <row r="151" spans="1:18" x14ac:dyDescent="0.25">
      <c r="A151" s="2">
        <v>145</v>
      </c>
      <c r="B151" s="3" t="s">
        <v>296</v>
      </c>
      <c r="C151" s="2" t="s">
        <v>297</v>
      </c>
      <c r="D151" s="2" t="s">
        <v>35</v>
      </c>
      <c r="E151" s="3" t="s">
        <v>1332</v>
      </c>
      <c r="I151" s="7" t="str">
        <f t="shared" si="7"/>
        <v>Meter3</v>
      </c>
      <c r="J151" s="7" t="str">
        <f t="shared" si="8"/>
        <v>total_kw</v>
      </c>
      <c r="O151" t="s">
        <v>1406</v>
      </c>
      <c r="R151" t="s">
        <v>1406</v>
      </c>
    </row>
    <row r="152" spans="1:18" x14ac:dyDescent="0.25">
      <c r="A152" s="2">
        <v>146</v>
      </c>
      <c r="B152" s="3" t="s">
        <v>298</v>
      </c>
      <c r="C152" s="2" t="s">
        <v>299</v>
      </c>
      <c r="D152" s="2" t="s">
        <v>35</v>
      </c>
      <c r="E152" s="3" t="s">
        <v>1333</v>
      </c>
      <c r="I152" s="7" t="str">
        <f t="shared" si="7"/>
        <v>Meter3</v>
      </c>
      <c r="J152" s="7" t="str">
        <f t="shared" si="8"/>
        <v>total_kva</v>
      </c>
    </row>
    <row r="153" spans="1:18" x14ac:dyDescent="0.25">
      <c r="A153" s="2">
        <v>147</v>
      </c>
      <c r="B153" s="3" t="s">
        <v>300</v>
      </c>
      <c r="C153" s="2" t="s">
        <v>301</v>
      </c>
      <c r="D153" s="2" t="s">
        <v>35</v>
      </c>
      <c r="E153" s="3" t="s">
        <v>1334</v>
      </c>
      <c r="I153" s="7" t="str">
        <f t="shared" si="7"/>
        <v>Meter3</v>
      </c>
      <c r="J153" s="7" t="str">
        <f t="shared" si="8"/>
        <v>total_kvar</v>
      </c>
    </row>
    <row r="154" spans="1:18" x14ac:dyDescent="0.25">
      <c r="A154" s="2">
        <v>148</v>
      </c>
      <c r="B154" s="3" t="s">
        <v>302</v>
      </c>
      <c r="C154" s="2" t="s">
        <v>303</v>
      </c>
      <c r="D154" s="2" t="s">
        <v>35</v>
      </c>
      <c r="E154" s="3" t="s">
        <v>1335</v>
      </c>
      <c r="I154" s="7" t="str">
        <f t="shared" si="7"/>
        <v>Meter3</v>
      </c>
      <c r="J154" s="7" t="str">
        <f t="shared" si="8"/>
        <v>PF1</v>
      </c>
    </row>
    <row r="155" spans="1:18" x14ac:dyDescent="0.25">
      <c r="A155" s="2">
        <v>149</v>
      </c>
      <c r="B155" s="3" t="s">
        <v>304</v>
      </c>
      <c r="C155" s="2" t="s">
        <v>305</v>
      </c>
      <c r="D155" s="2" t="s">
        <v>35</v>
      </c>
      <c r="E155" s="3" t="s">
        <v>1336</v>
      </c>
      <c r="I155" s="7" t="str">
        <f t="shared" si="7"/>
        <v>Meter3</v>
      </c>
      <c r="J155" s="7" t="str">
        <f t="shared" si="8"/>
        <v>PF2</v>
      </c>
    </row>
    <row r="156" spans="1:18" x14ac:dyDescent="0.25">
      <c r="A156" s="2">
        <v>150</v>
      </c>
      <c r="B156" s="3" t="s">
        <v>306</v>
      </c>
      <c r="C156" s="2" t="s">
        <v>307</v>
      </c>
      <c r="D156" s="2" t="s">
        <v>35</v>
      </c>
      <c r="E156" s="3" t="s">
        <v>1337</v>
      </c>
      <c r="I156" s="7" t="str">
        <f t="shared" si="7"/>
        <v>Meter3</v>
      </c>
      <c r="J156" s="7" t="str">
        <f t="shared" si="8"/>
        <v>PF3</v>
      </c>
    </row>
    <row r="157" spans="1:18" x14ac:dyDescent="0.25">
      <c r="A157" s="2">
        <v>151</v>
      </c>
      <c r="B157" s="3" t="s">
        <v>308</v>
      </c>
      <c r="C157" s="2" t="s">
        <v>309</v>
      </c>
      <c r="D157" s="2" t="s">
        <v>35</v>
      </c>
      <c r="E157" s="3" t="s">
        <v>1338</v>
      </c>
      <c r="I157" s="7" t="str">
        <f t="shared" si="7"/>
        <v>Meter3</v>
      </c>
      <c r="J157" s="7" t="str">
        <f t="shared" si="8"/>
        <v>PF</v>
      </c>
      <c r="O157" t="s">
        <v>1405</v>
      </c>
      <c r="R157" t="s">
        <v>1405</v>
      </c>
    </row>
    <row r="158" spans="1:18" x14ac:dyDescent="0.25">
      <c r="A158" s="2">
        <v>152</v>
      </c>
      <c r="B158" s="3" t="s">
        <v>310</v>
      </c>
      <c r="C158" s="2" t="s">
        <v>311</v>
      </c>
      <c r="D158" s="2" t="s">
        <v>35</v>
      </c>
      <c r="E158" s="3" t="s">
        <v>1339</v>
      </c>
      <c r="I158" s="7" t="str">
        <f t="shared" si="7"/>
        <v>Meter3</v>
      </c>
      <c r="J158" s="7" t="str">
        <f t="shared" si="8"/>
        <v>freq</v>
      </c>
      <c r="O158" t="s">
        <v>1339</v>
      </c>
      <c r="R158" t="s">
        <v>1339</v>
      </c>
    </row>
    <row r="159" spans="1:18" x14ac:dyDescent="0.25">
      <c r="A159" s="2">
        <v>153</v>
      </c>
      <c r="B159" s="3" t="s">
        <v>312</v>
      </c>
      <c r="C159" s="2" t="s">
        <v>313</v>
      </c>
      <c r="D159" s="2" t="s">
        <v>35</v>
      </c>
      <c r="E159" s="3" t="s">
        <v>1340</v>
      </c>
      <c r="I159" s="7" t="str">
        <f t="shared" si="7"/>
        <v>Meter3</v>
      </c>
      <c r="J159" s="7" t="str">
        <f t="shared" si="8"/>
        <v>kwh</v>
      </c>
      <c r="O159" t="s">
        <v>1340</v>
      </c>
      <c r="R159" t="s">
        <v>1340</v>
      </c>
    </row>
    <row r="160" spans="1:18" x14ac:dyDescent="0.25">
      <c r="A160" s="2">
        <v>154</v>
      </c>
      <c r="B160" s="3" t="s">
        <v>314</v>
      </c>
      <c r="C160" s="2" t="s">
        <v>315</v>
      </c>
      <c r="D160" s="2" t="s">
        <v>35</v>
      </c>
      <c r="E160" s="3" t="s">
        <v>1341</v>
      </c>
      <c r="I160" s="7" t="str">
        <f t="shared" si="7"/>
        <v>Meter3</v>
      </c>
      <c r="J160" s="7" t="str">
        <f t="shared" si="8"/>
        <v>kvah</v>
      </c>
    </row>
    <row r="161" spans="1:16" x14ac:dyDescent="0.25">
      <c r="A161" s="2">
        <v>155</v>
      </c>
      <c r="B161" s="3" t="s">
        <v>316</v>
      </c>
      <c r="C161" s="2" t="s">
        <v>317</v>
      </c>
      <c r="D161" s="2" t="s">
        <v>35</v>
      </c>
      <c r="E161" s="3" t="s">
        <v>1342</v>
      </c>
      <c r="I161" s="7" t="str">
        <f t="shared" si="7"/>
        <v>Meter3</v>
      </c>
      <c r="J161" s="7" t="str">
        <f t="shared" si="8"/>
        <v>kvarh</v>
      </c>
    </row>
    <row r="162" spans="1:16" x14ac:dyDescent="0.25">
      <c r="A162" s="2">
        <v>156</v>
      </c>
      <c r="B162" s="3" t="s">
        <v>318</v>
      </c>
      <c r="C162" s="2" t="s">
        <v>319</v>
      </c>
      <c r="D162" s="2" t="s">
        <v>7</v>
      </c>
      <c r="E162" s="3" t="s">
        <v>1343</v>
      </c>
      <c r="I162" s="7" t="str">
        <f t="shared" si="7"/>
        <v>Pump3</v>
      </c>
      <c r="J162" s="7" t="str">
        <f t="shared" si="8"/>
        <v>Ctrl_run_Pump</v>
      </c>
    </row>
    <row r="163" spans="1:16" x14ac:dyDescent="0.25">
      <c r="A163" s="2">
        <v>157</v>
      </c>
      <c r="B163" s="3" t="s">
        <v>320</v>
      </c>
      <c r="C163" s="2" t="s">
        <v>321</v>
      </c>
      <c r="D163" s="2" t="s">
        <v>7</v>
      </c>
      <c r="E163" s="3" t="s">
        <v>1354</v>
      </c>
      <c r="I163" s="7" t="str">
        <f t="shared" si="7"/>
        <v>Pump3</v>
      </c>
      <c r="J163" s="7" t="str">
        <f t="shared" si="8"/>
        <v>FB_Fault</v>
      </c>
      <c r="L163" s="11"/>
      <c r="P163" t="s">
        <v>1397</v>
      </c>
    </row>
    <row r="164" spans="1:16" x14ac:dyDescent="0.25">
      <c r="A164" s="2">
        <v>158</v>
      </c>
      <c r="B164" s="3" t="s">
        <v>322</v>
      </c>
      <c r="C164" s="2" t="s">
        <v>323</v>
      </c>
      <c r="D164" s="2" t="s">
        <v>7</v>
      </c>
      <c r="E164" s="3" t="s">
        <v>1344</v>
      </c>
      <c r="I164" s="7" t="str">
        <f t="shared" si="7"/>
        <v>Pump3</v>
      </c>
      <c r="J164" s="7" t="str">
        <f t="shared" si="8"/>
        <v>Ctrl_PB_Run</v>
      </c>
    </row>
    <row r="165" spans="1:16" x14ac:dyDescent="0.25">
      <c r="A165" s="2">
        <v>159</v>
      </c>
      <c r="B165" s="3" t="s">
        <v>324</v>
      </c>
      <c r="C165" s="2" t="s">
        <v>325</v>
      </c>
      <c r="D165" s="2" t="s">
        <v>7</v>
      </c>
      <c r="E165" s="3" t="s">
        <v>1345</v>
      </c>
      <c r="I165" s="7" t="str">
        <f t="shared" si="7"/>
        <v>Pump3</v>
      </c>
      <c r="J165" s="7" t="str">
        <f t="shared" si="8"/>
        <v>Ctrl_PB_Stop</v>
      </c>
    </row>
    <row r="166" spans="1:16" x14ac:dyDescent="0.25">
      <c r="A166" s="2">
        <v>160</v>
      </c>
      <c r="B166" s="3" t="s">
        <v>326</v>
      </c>
      <c r="C166" s="2" t="s">
        <v>327</v>
      </c>
      <c r="D166" s="2" t="s">
        <v>7</v>
      </c>
      <c r="E166" s="3" t="s">
        <v>1346</v>
      </c>
      <c r="I166" s="7" t="str">
        <f t="shared" si="7"/>
        <v>Pump3</v>
      </c>
      <c r="J166" s="7" t="str">
        <f t="shared" si="8"/>
        <v>Ctrl_PB_RST</v>
      </c>
    </row>
    <row r="167" spans="1:16" x14ac:dyDescent="0.25">
      <c r="A167" s="2">
        <v>161</v>
      </c>
      <c r="B167" s="3" t="s">
        <v>328</v>
      </c>
      <c r="C167" s="2" t="s">
        <v>329</v>
      </c>
      <c r="D167" s="2" t="s">
        <v>24</v>
      </c>
      <c r="E167" s="3" t="s">
        <v>1347</v>
      </c>
      <c r="I167" s="7" t="str">
        <f t="shared" si="7"/>
        <v>Pump3</v>
      </c>
      <c r="J167" s="7" t="str">
        <f t="shared" si="8"/>
        <v>Time_Run_M</v>
      </c>
      <c r="O167" s="20" t="s">
        <v>1417</v>
      </c>
    </row>
    <row r="168" spans="1:16" x14ac:dyDescent="0.25">
      <c r="A168" s="2">
        <v>162</v>
      </c>
      <c r="B168" s="3" t="s">
        <v>330</v>
      </c>
      <c r="C168" s="2" t="s">
        <v>331</v>
      </c>
      <c r="D168" s="2" t="s">
        <v>24</v>
      </c>
      <c r="E168" s="3" t="s">
        <v>1348</v>
      </c>
      <c r="I168" s="7" t="str">
        <f t="shared" si="7"/>
        <v>Pump3</v>
      </c>
      <c r="J168" s="7" t="str">
        <f t="shared" si="8"/>
        <v>Time_Run_H</v>
      </c>
      <c r="O168" s="20"/>
    </row>
    <row r="169" spans="1:16" x14ac:dyDescent="0.25">
      <c r="A169" s="2">
        <v>163</v>
      </c>
      <c r="B169" s="3" t="s">
        <v>332</v>
      </c>
      <c r="C169" s="2" t="s">
        <v>333</v>
      </c>
      <c r="D169" s="2" t="s">
        <v>24</v>
      </c>
      <c r="E169" s="3" t="s">
        <v>1349</v>
      </c>
      <c r="I169" s="7" t="str">
        <f t="shared" si="7"/>
        <v>Pump3</v>
      </c>
      <c r="J169" s="7" t="str">
        <f t="shared" si="8"/>
        <v>Total_Time_Run_M</v>
      </c>
      <c r="O169" s="20" t="s">
        <v>1418</v>
      </c>
    </row>
    <row r="170" spans="1:16" x14ac:dyDescent="0.25">
      <c r="A170" s="2">
        <v>164</v>
      </c>
      <c r="B170" s="3" t="s">
        <v>334</v>
      </c>
      <c r="C170" s="2" t="s">
        <v>335</v>
      </c>
      <c r="D170" s="2" t="s">
        <v>24</v>
      </c>
      <c r="E170" s="3" t="s">
        <v>1350</v>
      </c>
      <c r="I170" s="7" t="str">
        <f t="shared" si="7"/>
        <v>Pump3</v>
      </c>
      <c r="J170" s="7" t="str">
        <f t="shared" si="8"/>
        <v>Total_Time_Run_H</v>
      </c>
      <c r="N170" t="s">
        <v>1407</v>
      </c>
      <c r="O170" s="20"/>
    </row>
    <row r="171" spans="1:16" x14ac:dyDescent="0.25">
      <c r="A171" s="2">
        <v>165</v>
      </c>
      <c r="B171" s="3" t="s">
        <v>336</v>
      </c>
      <c r="C171" s="2" t="s">
        <v>337</v>
      </c>
      <c r="D171" s="2" t="s">
        <v>24</v>
      </c>
      <c r="E171" s="3" t="s">
        <v>1351</v>
      </c>
      <c r="I171" s="7" t="str">
        <f t="shared" si="7"/>
        <v>Pump3</v>
      </c>
      <c r="J171" s="7" t="str">
        <f t="shared" si="8"/>
        <v>NumberOfclose</v>
      </c>
    </row>
    <row r="172" spans="1:16" x14ac:dyDescent="0.25">
      <c r="A172" s="2">
        <v>166</v>
      </c>
      <c r="B172" s="3" t="s">
        <v>338</v>
      </c>
      <c r="C172" s="2" t="s">
        <v>339</v>
      </c>
      <c r="D172" s="2" t="s">
        <v>7</v>
      </c>
      <c r="E172" s="3" t="s">
        <v>1355</v>
      </c>
      <c r="I172" s="7" t="str">
        <f t="shared" si="7"/>
        <v>Pump4</v>
      </c>
      <c r="J172" s="7" t="str">
        <f t="shared" si="8"/>
        <v>FB_auto</v>
      </c>
    </row>
    <row r="173" spans="1:16" x14ac:dyDescent="0.25">
      <c r="A173" s="2">
        <v>167</v>
      </c>
      <c r="B173" s="3" t="s">
        <v>340</v>
      </c>
      <c r="C173" s="2" t="s">
        <v>341</v>
      </c>
      <c r="D173" s="2" t="s">
        <v>7</v>
      </c>
      <c r="E173" s="3" t="s">
        <v>1306</v>
      </c>
      <c r="I173" s="7" t="str">
        <f t="shared" si="7"/>
        <v>Pump4</v>
      </c>
      <c r="J173" s="7" t="str">
        <f t="shared" si="8"/>
        <v>FB_Run</v>
      </c>
      <c r="L173" s="9"/>
      <c r="M173" t="s">
        <v>1397</v>
      </c>
      <c r="N173" t="s">
        <v>1397</v>
      </c>
      <c r="O173" t="s">
        <v>1397</v>
      </c>
    </row>
    <row r="174" spans="1:16" x14ac:dyDescent="0.25">
      <c r="A174" s="2">
        <v>168</v>
      </c>
      <c r="B174" s="3" t="s">
        <v>342</v>
      </c>
      <c r="C174" s="2" t="s">
        <v>343</v>
      </c>
      <c r="D174" s="2" t="s">
        <v>7</v>
      </c>
      <c r="E174" s="3" t="s">
        <v>1307</v>
      </c>
      <c r="I174" s="7" t="str">
        <f t="shared" si="7"/>
        <v>Pump4</v>
      </c>
      <c r="J174" s="7" t="str">
        <f t="shared" si="8"/>
        <v>FB_Fault_V</v>
      </c>
      <c r="P174" t="s">
        <v>1397</v>
      </c>
    </row>
    <row r="175" spans="1:16" x14ac:dyDescent="0.25">
      <c r="A175" s="2">
        <v>169</v>
      </c>
      <c r="B175" s="3" t="s">
        <v>344</v>
      </c>
      <c r="C175" s="2" t="s">
        <v>345</v>
      </c>
      <c r="D175" s="2" t="s">
        <v>7</v>
      </c>
      <c r="E175" s="3" t="s">
        <v>1307</v>
      </c>
      <c r="I175" s="7" t="str">
        <f t="shared" si="7"/>
        <v>Pump4</v>
      </c>
      <c r="J175" s="7" t="str">
        <f t="shared" si="8"/>
        <v>FB_Fault_SS</v>
      </c>
      <c r="M175" t="s">
        <v>1397</v>
      </c>
      <c r="P175" t="s">
        <v>1397</v>
      </c>
    </row>
    <row r="176" spans="1:16" x14ac:dyDescent="0.25">
      <c r="A176" s="2">
        <v>170</v>
      </c>
      <c r="B176" s="3" t="s">
        <v>346</v>
      </c>
      <c r="C176" s="2" t="s">
        <v>347</v>
      </c>
      <c r="D176" s="2" t="s">
        <v>7</v>
      </c>
      <c r="E176" s="3" t="s">
        <v>1356</v>
      </c>
      <c r="I176" s="7" t="str">
        <f t="shared" si="7"/>
        <v>Pump4</v>
      </c>
      <c r="J176" s="7" t="str">
        <f t="shared" si="8"/>
        <v>FB_Fault_Temp</v>
      </c>
      <c r="P176" t="s">
        <v>1397</v>
      </c>
    </row>
    <row r="177" spans="1:18" x14ac:dyDescent="0.25">
      <c r="A177" s="2">
        <v>171</v>
      </c>
      <c r="B177" s="3" t="s">
        <v>348</v>
      </c>
      <c r="C177" s="2" t="s">
        <v>349</v>
      </c>
      <c r="D177" s="2" t="s">
        <v>7</v>
      </c>
      <c r="E177" s="3" t="s">
        <v>1307</v>
      </c>
      <c r="I177" s="7" t="str">
        <f t="shared" si="7"/>
        <v>Pump4</v>
      </c>
      <c r="J177" s="7" t="str">
        <f t="shared" si="8"/>
        <v>FB_Fault_Curent</v>
      </c>
      <c r="P177" t="s">
        <v>1397</v>
      </c>
    </row>
    <row r="178" spans="1:18" x14ac:dyDescent="0.25">
      <c r="A178" s="2">
        <v>172</v>
      </c>
      <c r="B178" s="3" t="s">
        <v>350</v>
      </c>
      <c r="C178" s="2" t="s">
        <v>351</v>
      </c>
      <c r="D178" s="2" t="s">
        <v>7</v>
      </c>
      <c r="E178" s="3" t="s">
        <v>1357</v>
      </c>
      <c r="I178" s="7" t="str">
        <f t="shared" si="7"/>
        <v>Pump4</v>
      </c>
      <c r="J178" s="7" t="str">
        <f t="shared" si="8"/>
        <v>Clock_1m</v>
      </c>
    </row>
    <row r="179" spans="1:18" x14ac:dyDescent="0.25">
      <c r="A179" s="2">
        <v>173</v>
      </c>
      <c r="B179" s="3" t="s">
        <v>352</v>
      </c>
      <c r="C179" s="2" t="s">
        <v>353</v>
      </c>
      <c r="D179" s="2" t="s">
        <v>7</v>
      </c>
      <c r="E179" s="3" t="s">
        <v>1358</v>
      </c>
      <c r="I179" s="7" t="str">
        <f t="shared" si="7"/>
        <v>Pump4</v>
      </c>
      <c r="J179" s="7" t="str">
        <f t="shared" si="8"/>
        <v>FB_stop</v>
      </c>
      <c r="L179" s="10"/>
      <c r="M179" t="s">
        <v>1397</v>
      </c>
      <c r="N179" t="s">
        <v>1397</v>
      </c>
      <c r="O179" t="s">
        <v>1397</v>
      </c>
    </row>
    <row r="180" spans="1:18" x14ac:dyDescent="0.25">
      <c r="A180" s="2">
        <v>8</v>
      </c>
      <c r="B180" s="12" t="s">
        <v>1436</v>
      </c>
      <c r="C180" s="2" t="s">
        <v>21</v>
      </c>
      <c r="D180" s="2" t="s">
        <v>7</v>
      </c>
      <c r="E180" s="3" t="s">
        <v>1393</v>
      </c>
      <c r="I180" s="7" t="str">
        <f t="shared" si="7"/>
        <v>Pump4</v>
      </c>
      <c r="J180" s="7" t="str">
        <f t="shared" si="8"/>
        <v>FB_maintenance</v>
      </c>
      <c r="L180" s="13"/>
      <c r="M180" t="s">
        <v>1397</v>
      </c>
      <c r="N180" t="s">
        <v>1397</v>
      </c>
      <c r="O180" t="s">
        <v>1397</v>
      </c>
    </row>
    <row r="181" spans="1:18" x14ac:dyDescent="0.25">
      <c r="A181" s="2">
        <v>174</v>
      </c>
      <c r="B181" s="3" t="s">
        <v>354</v>
      </c>
      <c r="C181" s="2" t="s">
        <v>355</v>
      </c>
      <c r="D181" s="2" t="s">
        <v>24</v>
      </c>
      <c r="E181" s="3" t="s">
        <v>1352</v>
      </c>
      <c r="I181" s="7" t="str">
        <f t="shared" si="7"/>
        <v>Pump4</v>
      </c>
      <c r="J181" s="7" t="str">
        <f t="shared" si="8"/>
        <v>FB_Temp_DEBearing</v>
      </c>
      <c r="O181" t="s">
        <v>1399</v>
      </c>
      <c r="Q181" t="s">
        <v>1424</v>
      </c>
      <c r="R181" t="s">
        <v>1424</v>
      </c>
    </row>
    <row r="182" spans="1:18" x14ac:dyDescent="0.25">
      <c r="A182" s="2">
        <v>175</v>
      </c>
      <c r="B182" s="3" t="s">
        <v>356</v>
      </c>
      <c r="C182" s="2" t="s">
        <v>357</v>
      </c>
      <c r="D182" s="2" t="s">
        <v>24</v>
      </c>
      <c r="E182" s="3" t="s">
        <v>1353</v>
      </c>
      <c r="I182" s="7" t="str">
        <f t="shared" si="7"/>
        <v>Pump4</v>
      </c>
      <c r="J182" s="7" t="str">
        <f t="shared" si="8"/>
        <v>FB_Temp_NDEBearing</v>
      </c>
      <c r="O182" t="s">
        <v>1400</v>
      </c>
      <c r="Q182" t="s">
        <v>1425</v>
      </c>
      <c r="R182" t="s">
        <v>1425</v>
      </c>
    </row>
    <row r="183" spans="1:18" x14ac:dyDescent="0.25">
      <c r="A183" s="2">
        <v>176</v>
      </c>
      <c r="B183" s="3" t="s">
        <v>358</v>
      </c>
      <c r="C183" s="2" t="s">
        <v>359</v>
      </c>
      <c r="D183" s="2" t="s">
        <v>24</v>
      </c>
      <c r="E183" s="3" t="s">
        <v>1308</v>
      </c>
      <c r="I183" s="7" t="str">
        <f t="shared" si="7"/>
        <v>Pump4</v>
      </c>
      <c r="J183" s="7" t="str">
        <f t="shared" si="8"/>
        <v>FB_Temp_PhaseA</v>
      </c>
      <c r="O183" t="s">
        <v>1401</v>
      </c>
      <c r="Q183" t="s">
        <v>1426</v>
      </c>
      <c r="R183" t="s">
        <v>1426</v>
      </c>
    </row>
    <row r="184" spans="1:18" x14ac:dyDescent="0.25">
      <c r="A184" s="2">
        <v>177</v>
      </c>
      <c r="B184" s="3" t="s">
        <v>360</v>
      </c>
      <c r="C184" s="2" t="s">
        <v>361</v>
      </c>
      <c r="D184" s="2" t="s">
        <v>24</v>
      </c>
      <c r="E184" s="3" t="s">
        <v>1309</v>
      </c>
      <c r="I184" s="7" t="str">
        <f t="shared" si="7"/>
        <v>Pump4</v>
      </c>
      <c r="J184" s="7" t="str">
        <f t="shared" si="8"/>
        <v>FB_Temp_PhaseB</v>
      </c>
      <c r="O184" t="s">
        <v>1402</v>
      </c>
      <c r="Q184" t="s">
        <v>1427</v>
      </c>
      <c r="R184" t="s">
        <v>1427</v>
      </c>
    </row>
    <row r="185" spans="1:18" x14ac:dyDescent="0.25">
      <c r="A185" s="2">
        <v>178</v>
      </c>
      <c r="B185" s="3" t="s">
        <v>362</v>
      </c>
      <c r="C185" s="2" t="s">
        <v>363</v>
      </c>
      <c r="D185" s="2" t="s">
        <v>24</v>
      </c>
      <c r="E185" s="3" t="s">
        <v>1310</v>
      </c>
      <c r="I185" s="7" t="str">
        <f t="shared" si="7"/>
        <v>Pump4</v>
      </c>
      <c r="J185" s="7" t="str">
        <f t="shared" si="8"/>
        <v>FB_Temp_PhaseC</v>
      </c>
      <c r="O185" t="s">
        <v>1403</v>
      </c>
      <c r="Q185" t="s">
        <v>1428</v>
      </c>
      <c r="R185" t="s">
        <v>1428</v>
      </c>
    </row>
    <row r="186" spans="1:18" x14ac:dyDescent="0.25">
      <c r="A186" s="2">
        <v>179</v>
      </c>
      <c r="B186" s="3" t="s">
        <v>364</v>
      </c>
      <c r="C186" s="2" t="s">
        <v>365</v>
      </c>
      <c r="D186" s="2" t="s">
        <v>35</v>
      </c>
      <c r="E186" s="3" t="s">
        <v>1315</v>
      </c>
      <c r="I186" s="7" t="str">
        <f t="shared" si="7"/>
        <v>Meter4</v>
      </c>
      <c r="J186" s="7" t="str">
        <f t="shared" si="8"/>
        <v>U1</v>
      </c>
    </row>
    <row r="187" spans="1:18" x14ac:dyDescent="0.25">
      <c r="A187" s="2">
        <v>180</v>
      </c>
      <c r="B187" s="3" t="s">
        <v>366</v>
      </c>
      <c r="C187" s="2" t="s">
        <v>367</v>
      </c>
      <c r="D187" s="2" t="s">
        <v>35</v>
      </c>
      <c r="E187" s="3" t="s">
        <v>1316</v>
      </c>
      <c r="I187" s="7" t="str">
        <f t="shared" si="7"/>
        <v>Meter4</v>
      </c>
      <c r="J187" s="7" t="str">
        <f t="shared" si="8"/>
        <v>U2</v>
      </c>
    </row>
    <row r="188" spans="1:18" x14ac:dyDescent="0.25">
      <c r="A188" s="2">
        <v>181</v>
      </c>
      <c r="B188" s="3" t="s">
        <v>368</v>
      </c>
      <c r="C188" s="2" t="s">
        <v>369</v>
      </c>
      <c r="D188" s="2" t="s">
        <v>35</v>
      </c>
      <c r="E188" s="3" t="s">
        <v>1317</v>
      </c>
      <c r="I188" s="7" t="str">
        <f t="shared" si="7"/>
        <v>Meter4</v>
      </c>
      <c r="J188" s="7" t="str">
        <f t="shared" si="8"/>
        <v>U3</v>
      </c>
    </row>
    <row r="189" spans="1:18" x14ac:dyDescent="0.25">
      <c r="A189" s="2">
        <v>182</v>
      </c>
      <c r="B189" s="3" t="s">
        <v>370</v>
      </c>
      <c r="C189" s="2" t="s">
        <v>371</v>
      </c>
      <c r="D189" s="2" t="s">
        <v>35</v>
      </c>
      <c r="E189" s="3" t="s">
        <v>1318</v>
      </c>
      <c r="I189" s="7" t="str">
        <f t="shared" si="7"/>
        <v>Meter4</v>
      </c>
      <c r="J189" s="7" t="str">
        <f t="shared" si="8"/>
        <v>U_Ph</v>
      </c>
    </row>
    <row r="190" spans="1:18" x14ac:dyDescent="0.25">
      <c r="A190" s="2">
        <v>183</v>
      </c>
      <c r="B190" s="3" t="s">
        <v>372</v>
      </c>
      <c r="C190" s="2" t="s">
        <v>373</v>
      </c>
      <c r="D190" s="2" t="s">
        <v>35</v>
      </c>
      <c r="E190" s="3" t="s">
        <v>1319</v>
      </c>
      <c r="I190" s="7" t="str">
        <f t="shared" si="7"/>
        <v>Meter4</v>
      </c>
      <c r="J190" s="7" t="str">
        <f t="shared" si="8"/>
        <v>U12</v>
      </c>
      <c r="O190" t="s">
        <v>1319</v>
      </c>
      <c r="R190" t="s">
        <v>1319</v>
      </c>
    </row>
    <row r="191" spans="1:18" x14ac:dyDescent="0.25">
      <c r="A191" s="2">
        <v>184</v>
      </c>
      <c r="B191" s="3" t="s">
        <v>374</v>
      </c>
      <c r="C191" s="2" t="s">
        <v>375</v>
      </c>
      <c r="D191" s="2" t="s">
        <v>35</v>
      </c>
      <c r="E191" s="3" t="s">
        <v>1320</v>
      </c>
      <c r="I191" s="7" t="str">
        <f t="shared" si="7"/>
        <v>Meter4</v>
      </c>
      <c r="J191" s="7" t="str">
        <f t="shared" si="8"/>
        <v>U23</v>
      </c>
      <c r="O191" t="s">
        <v>1320</v>
      </c>
      <c r="R191" t="s">
        <v>1320</v>
      </c>
    </row>
    <row r="192" spans="1:18" x14ac:dyDescent="0.25">
      <c r="A192" s="2">
        <v>185</v>
      </c>
      <c r="B192" s="3" t="s">
        <v>376</v>
      </c>
      <c r="C192" s="2" t="s">
        <v>377</v>
      </c>
      <c r="D192" s="2" t="s">
        <v>35</v>
      </c>
      <c r="E192" s="3" t="s">
        <v>1321</v>
      </c>
      <c r="I192" s="7" t="str">
        <f t="shared" si="7"/>
        <v>Meter4</v>
      </c>
      <c r="J192" s="7" t="str">
        <f t="shared" si="8"/>
        <v>U31</v>
      </c>
      <c r="O192" t="s">
        <v>1321</v>
      </c>
      <c r="R192" t="s">
        <v>1321</v>
      </c>
    </row>
    <row r="193" spans="1:18" x14ac:dyDescent="0.25">
      <c r="A193" s="2">
        <v>186</v>
      </c>
      <c r="B193" s="3" t="s">
        <v>378</v>
      </c>
      <c r="C193" s="2" t="s">
        <v>379</v>
      </c>
      <c r="D193" s="2" t="s">
        <v>35</v>
      </c>
      <c r="E193" s="3" t="s">
        <v>1322</v>
      </c>
      <c r="I193" s="7" t="str">
        <f t="shared" si="7"/>
        <v>Meter4</v>
      </c>
      <c r="J193" s="7" t="str">
        <f t="shared" si="8"/>
        <v>Uline</v>
      </c>
    </row>
    <row r="194" spans="1:18" x14ac:dyDescent="0.25">
      <c r="A194" s="2">
        <v>187</v>
      </c>
      <c r="B194" s="3" t="s">
        <v>380</v>
      </c>
      <c r="C194" s="2" t="s">
        <v>381</v>
      </c>
      <c r="D194" s="2" t="s">
        <v>35</v>
      </c>
      <c r="E194" s="3" t="s">
        <v>1312</v>
      </c>
      <c r="I194" s="7" t="str">
        <f t="shared" si="7"/>
        <v>Meter4</v>
      </c>
      <c r="J194" s="7" t="str">
        <f t="shared" si="8"/>
        <v>I1</v>
      </c>
      <c r="Q194" s="3" t="s">
        <v>1429</v>
      </c>
      <c r="R194" s="3" t="s">
        <v>1429</v>
      </c>
    </row>
    <row r="195" spans="1:18" x14ac:dyDescent="0.25">
      <c r="A195" s="2">
        <v>188</v>
      </c>
      <c r="B195" s="3" t="s">
        <v>382</v>
      </c>
      <c r="C195" s="2" t="s">
        <v>383</v>
      </c>
      <c r="D195" s="2" t="s">
        <v>35</v>
      </c>
      <c r="E195" s="3" t="s">
        <v>1313</v>
      </c>
      <c r="I195" s="7" t="str">
        <f t="shared" si="7"/>
        <v>Meter4</v>
      </c>
      <c r="J195" s="7" t="str">
        <f t="shared" si="8"/>
        <v>I2</v>
      </c>
      <c r="Q195" s="3" t="s">
        <v>1430</v>
      </c>
      <c r="R195" s="3" t="s">
        <v>1430</v>
      </c>
    </row>
    <row r="196" spans="1:18" x14ac:dyDescent="0.25">
      <c r="A196" s="2">
        <v>189</v>
      </c>
      <c r="B196" s="3" t="s">
        <v>384</v>
      </c>
      <c r="C196" s="2" t="s">
        <v>385</v>
      </c>
      <c r="D196" s="2" t="s">
        <v>35</v>
      </c>
      <c r="E196" s="3" t="s">
        <v>1314</v>
      </c>
      <c r="I196" s="7" t="str">
        <f t="shared" si="7"/>
        <v>Meter4</v>
      </c>
      <c r="J196" s="7" t="str">
        <f t="shared" si="8"/>
        <v>I3</v>
      </c>
      <c r="Q196" s="3" t="s">
        <v>1431</v>
      </c>
      <c r="R196" s="3" t="s">
        <v>1431</v>
      </c>
    </row>
    <row r="197" spans="1:18" x14ac:dyDescent="0.25">
      <c r="A197" s="2">
        <v>190</v>
      </c>
      <c r="B197" s="3" t="s">
        <v>386</v>
      </c>
      <c r="C197" s="2" t="s">
        <v>387</v>
      </c>
      <c r="D197" s="2" t="s">
        <v>35</v>
      </c>
      <c r="E197" s="3" t="s">
        <v>1311</v>
      </c>
      <c r="I197" s="7" t="str">
        <f t="shared" si="7"/>
        <v>Meter4</v>
      </c>
      <c r="J197" s="7" t="str">
        <f t="shared" si="8"/>
        <v>I_ph</v>
      </c>
      <c r="N197" t="s">
        <v>1404</v>
      </c>
      <c r="O197" t="s">
        <v>1404</v>
      </c>
      <c r="R197" t="s">
        <v>1433</v>
      </c>
    </row>
    <row r="198" spans="1:18" x14ac:dyDescent="0.25">
      <c r="A198" s="2">
        <v>191</v>
      </c>
      <c r="B198" s="3" t="s">
        <v>388</v>
      </c>
      <c r="C198" s="2" t="s">
        <v>389</v>
      </c>
      <c r="D198" s="2" t="s">
        <v>35</v>
      </c>
      <c r="E198" s="3" t="s">
        <v>1323</v>
      </c>
      <c r="I198" s="7" t="str">
        <f t="shared" si="7"/>
        <v>Meter4</v>
      </c>
      <c r="J198" s="7" t="str">
        <f t="shared" si="8"/>
        <v>kw1</v>
      </c>
    </row>
    <row r="199" spans="1:18" x14ac:dyDescent="0.25">
      <c r="A199" s="2">
        <v>192</v>
      </c>
      <c r="B199" s="3" t="s">
        <v>390</v>
      </c>
      <c r="C199" s="2" t="s">
        <v>391</v>
      </c>
      <c r="D199" s="2" t="s">
        <v>35</v>
      </c>
      <c r="E199" s="3" t="s">
        <v>1324</v>
      </c>
      <c r="I199" s="7" t="str">
        <f t="shared" si="7"/>
        <v>Meter4</v>
      </c>
      <c r="J199" s="7" t="str">
        <f t="shared" si="8"/>
        <v>kw2</v>
      </c>
    </row>
    <row r="200" spans="1:18" x14ac:dyDescent="0.25">
      <c r="A200" s="2">
        <v>193</v>
      </c>
      <c r="B200" s="3" t="s">
        <v>392</v>
      </c>
      <c r="C200" s="2" t="s">
        <v>393</v>
      </c>
      <c r="D200" s="2" t="s">
        <v>35</v>
      </c>
      <c r="E200" s="3" t="s">
        <v>1325</v>
      </c>
      <c r="I200" s="7" t="str">
        <f t="shared" si="7"/>
        <v>Meter4</v>
      </c>
      <c r="J200" s="7" t="str">
        <f t="shared" si="8"/>
        <v>kw3</v>
      </c>
    </row>
    <row r="201" spans="1:18" x14ac:dyDescent="0.25">
      <c r="A201" s="2">
        <v>194</v>
      </c>
      <c r="B201" s="3" t="s">
        <v>394</v>
      </c>
      <c r="C201" s="2" t="s">
        <v>395</v>
      </c>
      <c r="D201" s="2" t="s">
        <v>35</v>
      </c>
      <c r="E201" s="3" t="s">
        <v>1326</v>
      </c>
      <c r="I201" s="7" t="str">
        <f t="shared" ref="I201:I265" si="9">LEFT(B201, SEARCH("_",B201 ) - 1)</f>
        <v>Meter4</v>
      </c>
      <c r="J201" s="7" t="str">
        <f t="shared" si="8"/>
        <v>kva1</v>
      </c>
    </row>
    <row r="202" spans="1:18" x14ac:dyDescent="0.25">
      <c r="A202" s="2">
        <v>195</v>
      </c>
      <c r="B202" s="3" t="s">
        <v>396</v>
      </c>
      <c r="C202" s="2" t="s">
        <v>397</v>
      </c>
      <c r="D202" s="2" t="s">
        <v>35</v>
      </c>
      <c r="E202" s="3" t="s">
        <v>1327</v>
      </c>
      <c r="I202" s="7" t="str">
        <f t="shared" si="9"/>
        <v>Meter4</v>
      </c>
      <c r="J202" s="7" t="str">
        <f t="shared" si="8"/>
        <v>kva2</v>
      </c>
    </row>
    <row r="203" spans="1:18" x14ac:dyDescent="0.25">
      <c r="A203" s="2">
        <v>196</v>
      </c>
      <c r="B203" s="3" t="s">
        <v>398</v>
      </c>
      <c r="C203" s="2" t="s">
        <v>399</v>
      </c>
      <c r="D203" s="2" t="s">
        <v>35</v>
      </c>
      <c r="E203" s="3" t="s">
        <v>1328</v>
      </c>
      <c r="I203" s="7" t="str">
        <f t="shared" si="9"/>
        <v>Meter4</v>
      </c>
      <c r="J203" s="7" t="str">
        <f t="shared" si="8"/>
        <v>kva3</v>
      </c>
    </row>
    <row r="204" spans="1:18" x14ac:dyDescent="0.25">
      <c r="A204" s="2">
        <v>197</v>
      </c>
      <c r="B204" s="3" t="s">
        <v>400</v>
      </c>
      <c r="C204" s="2" t="s">
        <v>401</v>
      </c>
      <c r="D204" s="2" t="s">
        <v>35</v>
      </c>
      <c r="E204" s="3" t="s">
        <v>1329</v>
      </c>
      <c r="I204" s="7" t="str">
        <f t="shared" si="9"/>
        <v>Meter4</v>
      </c>
      <c r="J204" s="7" t="str">
        <f t="shared" si="8"/>
        <v>kvar1</v>
      </c>
    </row>
    <row r="205" spans="1:18" x14ac:dyDescent="0.25">
      <c r="A205" s="2">
        <v>198</v>
      </c>
      <c r="B205" s="3" t="s">
        <v>402</v>
      </c>
      <c r="C205" s="2" t="s">
        <v>403</v>
      </c>
      <c r="D205" s="2" t="s">
        <v>35</v>
      </c>
      <c r="E205" s="3" t="s">
        <v>1330</v>
      </c>
      <c r="I205" s="7" t="str">
        <f t="shared" si="9"/>
        <v>Meter4</v>
      </c>
      <c r="J205" s="7" t="str">
        <f t="shared" si="8"/>
        <v>kvar2</v>
      </c>
    </row>
    <row r="206" spans="1:18" x14ac:dyDescent="0.25">
      <c r="A206" s="2">
        <v>199</v>
      </c>
      <c r="B206" s="3" t="s">
        <v>404</v>
      </c>
      <c r="C206" s="2" t="s">
        <v>405</v>
      </c>
      <c r="D206" s="2" t="s">
        <v>35</v>
      </c>
      <c r="E206" s="3" t="s">
        <v>1331</v>
      </c>
      <c r="I206" s="7" t="str">
        <f t="shared" si="9"/>
        <v>Meter4</v>
      </c>
      <c r="J206" s="7" t="str">
        <f t="shared" ref="J206:J270" si="10">RIGHT(B206, LEN(B206)-SEARCH("_",B206 ))</f>
        <v>kvar3</v>
      </c>
    </row>
    <row r="207" spans="1:18" x14ac:dyDescent="0.25">
      <c r="A207" s="2">
        <v>200</v>
      </c>
      <c r="B207" s="3" t="s">
        <v>406</v>
      </c>
      <c r="C207" s="2" t="s">
        <v>407</v>
      </c>
      <c r="D207" s="2" t="s">
        <v>35</v>
      </c>
      <c r="E207" s="3" t="s">
        <v>1332</v>
      </c>
      <c r="I207" s="7" t="str">
        <f t="shared" si="9"/>
        <v>Meter4</v>
      </c>
      <c r="J207" s="7" t="str">
        <f t="shared" si="10"/>
        <v>total_kw</v>
      </c>
      <c r="O207" t="s">
        <v>1406</v>
      </c>
      <c r="R207" t="s">
        <v>1406</v>
      </c>
    </row>
    <row r="208" spans="1:18" x14ac:dyDescent="0.25">
      <c r="A208" s="2">
        <v>201</v>
      </c>
      <c r="B208" s="3" t="s">
        <v>408</v>
      </c>
      <c r="C208" s="2" t="s">
        <v>409</v>
      </c>
      <c r="D208" s="2" t="s">
        <v>35</v>
      </c>
      <c r="E208" s="3" t="s">
        <v>1333</v>
      </c>
      <c r="I208" s="7" t="str">
        <f t="shared" si="9"/>
        <v>Meter4</v>
      </c>
      <c r="J208" s="7" t="str">
        <f t="shared" si="10"/>
        <v>total_kva</v>
      </c>
    </row>
    <row r="209" spans="1:18" x14ac:dyDescent="0.25">
      <c r="A209" s="2">
        <v>202</v>
      </c>
      <c r="B209" s="3" t="s">
        <v>410</v>
      </c>
      <c r="C209" s="2" t="s">
        <v>411</v>
      </c>
      <c r="D209" s="2" t="s">
        <v>35</v>
      </c>
      <c r="E209" s="3" t="s">
        <v>1334</v>
      </c>
      <c r="I209" s="7" t="str">
        <f t="shared" si="9"/>
        <v>Meter4</v>
      </c>
      <c r="J209" s="7" t="str">
        <f t="shared" si="10"/>
        <v>total_kvar</v>
      </c>
    </row>
    <row r="210" spans="1:18" x14ac:dyDescent="0.25">
      <c r="A210" s="2">
        <v>203</v>
      </c>
      <c r="B210" s="3" t="s">
        <v>412</v>
      </c>
      <c r="C210" s="2" t="s">
        <v>413</v>
      </c>
      <c r="D210" s="2" t="s">
        <v>35</v>
      </c>
      <c r="E210" s="3" t="s">
        <v>1335</v>
      </c>
      <c r="I210" s="7" t="str">
        <f t="shared" si="9"/>
        <v>Meter4</v>
      </c>
      <c r="J210" s="7" t="str">
        <f t="shared" si="10"/>
        <v>PF1</v>
      </c>
    </row>
    <row r="211" spans="1:18" x14ac:dyDescent="0.25">
      <c r="A211" s="2">
        <v>204</v>
      </c>
      <c r="B211" s="3" t="s">
        <v>414</v>
      </c>
      <c r="C211" s="2" t="s">
        <v>415</v>
      </c>
      <c r="D211" s="2" t="s">
        <v>35</v>
      </c>
      <c r="E211" s="3" t="s">
        <v>1336</v>
      </c>
      <c r="I211" s="7" t="str">
        <f t="shared" si="9"/>
        <v>Meter4</v>
      </c>
      <c r="J211" s="7" t="str">
        <f t="shared" si="10"/>
        <v>PF2</v>
      </c>
    </row>
    <row r="212" spans="1:18" x14ac:dyDescent="0.25">
      <c r="A212" s="2">
        <v>205</v>
      </c>
      <c r="B212" s="3" t="s">
        <v>416</v>
      </c>
      <c r="C212" s="2" t="s">
        <v>417</v>
      </c>
      <c r="D212" s="2" t="s">
        <v>35</v>
      </c>
      <c r="E212" s="3" t="s">
        <v>1337</v>
      </c>
      <c r="I212" s="7" t="str">
        <f t="shared" si="9"/>
        <v>Meter4</v>
      </c>
      <c r="J212" s="7" t="str">
        <f t="shared" si="10"/>
        <v>PF3</v>
      </c>
    </row>
    <row r="213" spans="1:18" x14ac:dyDescent="0.25">
      <c r="A213" s="2">
        <v>206</v>
      </c>
      <c r="B213" s="3" t="s">
        <v>418</v>
      </c>
      <c r="C213" s="2" t="s">
        <v>419</v>
      </c>
      <c r="D213" s="2" t="s">
        <v>35</v>
      </c>
      <c r="E213" s="3" t="s">
        <v>1338</v>
      </c>
      <c r="I213" s="7" t="str">
        <f t="shared" si="9"/>
        <v>Meter4</v>
      </c>
      <c r="J213" s="7" t="str">
        <f t="shared" si="10"/>
        <v>PF</v>
      </c>
      <c r="O213" t="s">
        <v>1405</v>
      </c>
      <c r="R213" t="s">
        <v>1405</v>
      </c>
    </row>
    <row r="214" spans="1:18" x14ac:dyDescent="0.25">
      <c r="A214" s="2">
        <v>207</v>
      </c>
      <c r="B214" s="3" t="s">
        <v>420</v>
      </c>
      <c r="C214" s="2" t="s">
        <v>421</v>
      </c>
      <c r="D214" s="2" t="s">
        <v>35</v>
      </c>
      <c r="E214" s="3" t="s">
        <v>1339</v>
      </c>
      <c r="I214" s="7" t="str">
        <f t="shared" si="9"/>
        <v>Meter4</v>
      </c>
      <c r="J214" s="7" t="str">
        <f t="shared" si="10"/>
        <v>freq</v>
      </c>
      <c r="O214" t="s">
        <v>1339</v>
      </c>
      <c r="R214" t="s">
        <v>1339</v>
      </c>
    </row>
    <row r="215" spans="1:18" x14ac:dyDescent="0.25">
      <c r="A215" s="2">
        <v>208</v>
      </c>
      <c r="B215" s="3" t="s">
        <v>422</v>
      </c>
      <c r="C215" s="2" t="s">
        <v>423</v>
      </c>
      <c r="D215" s="2" t="s">
        <v>35</v>
      </c>
      <c r="E215" s="3" t="s">
        <v>1340</v>
      </c>
      <c r="I215" s="7" t="str">
        <f t="shared" si="9"/>
        <v>Meter4</v>
      </c>
      <c r="J215" s="7" t="str">
        <f t="shared" si="10"/>
        <v>kwh</v>
      </c>
      <c r="O215" t="s">
        <v>1340</v>
      </c>
      <c r="R215" t="s">
        <v>1340</v>
      </c>
    </row>
    <row r="216" spans="1:18" x14ac:dyDescent="0.25">
      <c r="A216" s="2">
        <v>209</v>
      </c>
      <c r="B216" s="3" t="s">
        <v>424</v>
      </c>
      <c r="C216" s="2" t="s">
        <v>425</v>
      </c>
      <c r="D216" s="2" t="s">
        <v>35</v>
      </c>
      <c r="E216" s="3" t="s">
        <v>1341</v>
      </c>
      <c r="I216" s="7" t="str">
        <f t="shared" si="9"/>
        <v>Meter4</v>
      </c>
      <c r="J216" s="7" t="str">
        <f t="shared" si="10"/>
        <v>kvah</v>
      </c>
    </row>
    <row r="217" spans="1:18" x14ac:dyDescent="0.25">
      <c r="A217" s="2">
        <v>210</v>
      </c>
      <c r="B217" s="3" t="s">
        <v>426</v>
      </c>
      <c r="C217" s="2" t="s">
        <v>427</v>
      </c>
      <c r="D217" s="2" t="s">
        <v>35</v>
      </c>
      <c r="E217" s="3" t="s">
        <v>1342</v>
      </c>
      <c r="I217" s="7" t="str">
        <f t="shared" si="9"/>
        <v>Meter4</v>
      </c>
      <c r="J217" s="7" t="str">
        <f t="shared" si="10"/>
        <v>kvarh</v>
      </c>
    </row>
    <row r="218" spans="1:18" x14ac:dyDescent="0.25">
      <c r="A218" s="2">
        <v>211</v>
      </c>
      <c r="B218" s="3" t="s">
        <v>428</v>
      </c>
      <c r="C218" s="2" t="s">
        <v>429</v>
      </c>
      <c r="D218" s="2" t="s">
        <v>7</v>
      </c>
      <c r="E218" s="3" t="s">
        <v>1343</v>
      </c>
      <c r="I218" s="7" t="str">
        <f t="shared" si="9"/>
        <v>Pump4</v>
      </c>
      <c r="J218" s="7" t="str">
        <f t="shared" si="10"/>
        <v>Ctrl_run_Pump</v>
      </c>
    </row>
    <row r="219" spans="1:18" x14ac:dyDescent="0.25">
      <c r="A219" s="2">
        <v>212</v>
      </c>
      <c r="B219" s="3" t="s">
        <v>430</v>
      </c>
      <c r="C219" s="2" t="s">
        <v>431</v>
      </c>
      <c r="D219" s="2" t="s">
        <v>7</v>
      </c>
      <c r="E219" s="3" t="s">
        <v>1354</v>
      </c>
      <c r="I219" s="7" t="str">
        <f t="shared" si="9"/>
        <v>Pump4</v>
      </c>
      <c r="J219" s="7" t="str">
        <f t="shared" si="10"/>
        <v>FB_Fault</v>
      </c>
      <c r="L219" s="11"/>
      <c r="P219" t="s">
        <v>1397</v>
      </c>
    </row>
    <row r="220" spans="1:18" x14ac:dyDescent="0.25">
      <c r="A220" s="2">
        <v>213</v>
      </c>
      <c r="B220" s="3" t="s">
        <v>432</v>
      </c>
      <c r="C220" s="2" t="s">
        <v>433</v>
      </c>
      <c r="D220" s="2" t="s">
        <v>7</v>
      </c>
      <c r="E220" s="3" t="s">
        <v>1344</v>
      </c>
      <c r="I220" s="7" t="str">
        <f t="shared" si="9"/>
        <v>Pump4</v>
      </c>
      <c r="J220" s="7" t="str">
        <f t="shared" si="10"/>
        <v>Ctrl_PB_Run</v>
      </c>
    </row>
    <row r="221" spans="1:18" x14ac:dyDescent="0.25">
      <c r="A221" s="2">
        <v>214</v>
      </c>
      <c r="B221" s="3" t="s">
        <v>434</v>
      </c>
      <c r="C221" s="2" t="s">
        <v>435</v>
      </c>
      <c r="D221" s="2" t="s">
        <v>7</v>
      </c>
      <c r="E221" s="3" t="s">
        <v>1345</v>
      </c>
      <c r="I221" s="7" t="str">
        <f t="shared" si="9"/>
        <v>Pump4</v>
      </c>
      <c r="J221" s="7" t="str">
        <f t="shared" si="10"/>
        <v>Ctrl_PB_Stop</v>
      </c>
    </row>
    <row r="222" spans="1:18" x14ac:dyDescent="0.25">
      <c r="A222" s="2">
        <v>215</v>
      </c>
      <c r="B222" s="3" t="s">
        <v>436</v>
      </c>
      <c r="C222" s="2" t="s">
        <v>437</v>
      </c>
      <c r="D222" s="2" t="s">
        <v>7</v>
      </c>
      <c r="E222" s="3" t="s">
        <v>1346</v>
      </c>
      <c r="I222" s="7" t="str">
        <f t="shared" si="9"/>
        <v>Pump4</v>
      </c>
      <c r="J222" s="7" t="str">
        <f t="shared" si="10"/>
        <v>Ctrl_PB_RST</v>
      </c>
    </row>
    <row r="223" spans="1:18" x14ac:dyDescent="0.25">
      <c r="A223" s="2">
        <v>216</v>
      </c>
      <c r="B223" s="3" t="s">
        <v>438</v>
      </c>
      <c r="C223" s="2" t="s">
        <v>439</v>
      </c>
      <c r="D223" s="2" t="s">
        <v>24</v>
      </c>
      <c r="E223" s="3" t="s">
        <v>1347</v>
      </c>
      <c r="I223" s="7" t="str">
        <f t="shared" si="9"/>
        <v>Pump4</v>
      </c>
      <c r="J223" s="7" t="str">
        <f t="shared" si="10"/>
        <v>Time_Run_M</v>
      </c>
      <c r="O223" s="20" t="s">
        <v>1417</v>
      </c>
    </row>
    <row r="224" spans="1:18" x14ac:dyDescent="0.25">
      <c r="A224" s="2">
        <v>217</v>
      </c>
      <c r="B224" s="3" t="s">
        <v>440</v>
      </c>
      <c r="C224" s="2" t="s">
        <v>441</v>
      </c>
      <c r="D224" s="2" t="s">
        <v>24</v>
      </c>
      <c r="E224" s="3" t="s">
        <v>1348</v>
      </c>
      <c r="I224" s="7" t="str">
        <f t="shared" si="9"/>
        <v>Pump4</v>
      </c>
      <c r="J224" s="7" t="str">
        <f t="shared" si="10"/>
        <v>Time_Run_H</v>
      </c>
      <c r="O224" s="20"/>
    </row>
    <row r="225" spans="1:18" x14ac:dyDescent="0.25">
      <c r="A225" s="2">
        <v>218</v>
      </c>
      <c r="B225" s="3" t="s">
        <v>442</v>
      </c>
      <c r="C225" s="2" t="s">
        <v>443</v>
      </c>
      <c r="D225" s="2" t="s">
        <v>24</v>
      </c>
      <c r="E225" s="3" t="s">
        <v>1349</v>
      </c>
      <c r="I225" s="7" t="str">
        <f t="shared" si="9"/>
        <v>Pump4</v>
      </c>
      <c r="J225" s="7" t="str">
        <f t="shared" si="10"/>
        <v>Total_Time_Run_M</v>
      </c>
      <c r="O225" s="20" t="s">
        <v>1418</v>
      </c>
    </row>
    <row r="226" spans="1:18" x14ac:dyDescent="0.25">
      <c r="A226" s="2">
        <v>219</v>
      </c>
      <c r="B226" s="3" t="s">
        <v>444</v>
      </c>
      <c r="C226" s="2" t="s">
        <v>445</v>
      </c>
      <c r="D226" s="2" t="s">
        <v>24</v>
      </c>
      <c r="E226" s="3" t="s">
        <v>1350</v>
      </c>
      <c r="I226" s="7" t="str">
        <f t="shared" si="9"/>
        <v>Pump4</v>
      </c>
      <c r="J226" s="7" t="str">
        <f t="shared" si="10"/>
        <v>Total_Time_Run_H</v>
      </c>
      <c r="N226" t="s">
        <v>1407</v>
      </c>
      <c r="O226" s="20"/>
    </row>
    <row r="227" spans="1:18" x14ac:dyDescent="0.25">
      <c r="A227" s="2">
        <v>220</v>
      </c>
      <c r="B227" s="3" t="s">
        <v>446</v>
      </c>
      <c r="C227" s="2" t="s">
        <v>447</v>
      </c>
      <c r="D227" s="2" t="s">
        <v>24</v>
      </c>
      <c r="E227" s="3" t="s">
        <v>1351</v>
      </c>
      <c r="I227" s="7" t="str">
        <f t="shared" si="9"/>
        <v>Pump4</v>
      </c>
      <c r="J227" s="7" t="str">
        <f t="shared" si="10"/>
        <v>NumberOfclose</v>
      </c>
    </row>
    <row r="228" spans="1:18" x14ac:dyDescent="0.25">
      <c r="A228" s="2">
        <v>221</v>
      </c>
      <c r="B228" s="3" t="s">
        <v>448</v>
      </c>
      <c r="C228" s="2" t="s">
        <v>449</v>
      </c>
      <c r="D228" s="2" t="s">
        <v>7</v>
      </c>
      <c r="E228" s="3" t="s">
        <v>1355</v>
      </c>
      <c r="I228" s="7" t="str">
        <f t="shared" si="9"/>
        <v>Pump5</v>
      </c>
      <c r="J228" s="7" t="str">
        <f t="shared" si="10"/>
        <v>FB_auto</v>
      </c>
    </row>
    <row r="229" spans="1:18" x14ac:dyDescent="0.25">
      <c r="A229" s="2">
        <v>222</v>
      </c>
      <c r="B229" s="3" t="s">
        <v>450</v>
      </c>
      <c r="C229" s="2" t="s">
        <v>451</v>
      </c>
      <c r="D229" s="2" t="s">
        <v>7</v>
      </c>
      <c r="E229" s="3" t="s">
        <v>1306</v>
      </c>
      <c r="I229" s="7" t="str">
        <f t="shared" si="9"/>
        <v>Pump5</v>
      </c>
      <c r="J229" s="7" t="str">
        <f t="shared" si="10"/>
        <v>FB_Run</v>
      </c>
      <c r="L229" s="9"/>
      <c r="M229" t="s">
        <v>1397</v>
      </c>
      <c r="N229" t="s">
        <v>1397</v>
      </c>
      <c r="O229" t="s">
        <v>1397</v>
      </c>
    </row>
    <row r="230" spans="1:18" x14ac:dyDescent="0.25">
      <c r="A230" s="2">
        <v>223</v>
      </c>
      <c r="B230" s="3" t="s">
        <v>452</v>
      </c>
      <c r="C230" s="2" t="s">
        <v>453</v>
      </c>
      <c r="D230" s="2" t="s">
        <v>7</v>
      </c>
      <c r="E230" s="3" t="s">
        <v>1307</v>
      </c>
      <c r="I230" s="7" t="str">
        <f t="shared" si="9"/>
        <v>Pump5</v>
      </c>
      <c r="J230" s="7" t="str">
        <f t="shared" si="10"/>
        <v>FB_Fault_V</v>
      </c>
      <c r="P230" t="s">
        <v>1397</v>
      </c>
    </row>
    <row r="231" spans="1:18" x14ac:dyDescent="0.25">
      <c r="A231" s="2">
        <v>224</v>
      </c>
      <c r="B231" s="3" t="s">
        <v>454</v>
      </c>
      <c r="C231" s="2" t="s">
        <v>455</v>
      </c>
      <c r="D231" s="2" t="s">
        <v>7</v>
      </c>
      <c r="E231" s="3" t="s">
        <v>1307</v>
      </c>
      <c r="I231" s="7" t="str">
        <f t="shared" si="9"/>
        <v>Pump5</v>
      </c>
      <c r="J231" s="7" t="str">
        <f t="shared" si="10"/>
        <v>FB_Fault_SS</v>
      </c>
      <c r="M231" t="s">
        <v>1397</v>
      </c>
      <c r="P231" t="s">
        <v>1397</v>
      </c>
    </row>
    <row r="232" spans="1:18" x14ac:dyDescent="0.25">
      <c r="A232" s="2">
        <v>225</v>
      </c>
      <c r="B232" s="3" t="s">
        <v>456</v>
      </c>
      <c r="C232" s="2" t="s">
        <v>457</v>
      </c>
      <c r="D232" s="2" t="s">
        <v>7</v>
      </c>
      <c r="E232" s="3" t="s">
        <v>1356</v>
      </c>
      <c r="I232" s="7" t="str">
        <f t="shared" si="9"/>
        <v>Pump5</v>
      </c>
      <c r="J232" s="7" t="str">
        <f t="shared" si="10"/>
        <v>FB_Fault_Temp</v>
      </c>
      <c r="P232" t="s">
        <v>1397</v>
      </c>
    </row>
    <row r="233" spans="1:18" x14ac:dyDescent="0.25">
      <c r="A233" s="2">
        <v>226</v>
      </c>
      <c r="B233" s="3" t="s">
        <v>458</v>
      </c>
      <c r="C233" s="2" t="s">
        <v>459</v>
      </c>
      <c r="D233" s="2" t="s">
        <v>7</v>
      </c>
      <c r="E233" s="3" t="s">
        <v>1307</v>
      </c>
      <c r="I233" s="7" t="str">
        <f t="shared" si="9"/>
        <v>Pump5</v>
      </c>
      <c r="J233" s="7" t="str">
        <f t="shared" si="10"/>
        <v>FB_Fault_Curent</v>
      </c>
      <c r="P233" t="s">
        <v>1397</v>
      </c>
    </row>
    <row r="234" spans="1:18" x14ac:dyDescent="0.25">
      <c r="A234" s="2">
        <v>227</v>
      </c>
      <c r="B234" s="3" t="s">
        <v>460</v>
      </c>
      <c r="C234" s="2" t="s">
        <v>461</v>
      </c>
      <c r="D234" s="2" t="s">
        <v>7</v>
      </c>
      <c r="E234" s="3" t="s">
        <v>1357</v>
      </c>
      <c r="I234" s="7" t="str">
        <f t="shared" si="9"/>
        <v>Pump5</v>
      </c>
      <c r="J234" s="7" t="str">
        <f t="shared" si="10"/>
        <v>Clock_1m</v>
      </c>
    </row>
    <row r="235" spans="1:18" x14ac:dyDescent="0.25">
      <c r="A235" s="2">
        <v>228</v>
      </c>
      <c r="B235" s="3" t="s">
        <v>462</v>
      </c>
      <c r="C235" s="2" t="s">
        <v>463</v>
      </c>
      <c r="D235" s="2" t="s">
        <v>7</v>
      </c>
      <c r="E235" s="3" t="s">
        <v>1358</v>
      </c>
      <c r="I235" s="7" t="str">
        <f t="shared" si="9"/>
        <v>Pump5</v>
      </c>
      <c r="J235" s="7" t="str">
        <f t="shared" si="10"/>
        <v>FB_stop</v>
      </c>
      <c r="L235" s="10"/>
      <c r="M235" t="s">
        <v>1397</v>
      </c>
      <c r="N235" t="s">
        <v>1397</v>
      </c>
      <c r="O235" t="s">
        <v>1397</v>
      </c>
    </row>
    <row r="236" spans="1:18" x14ac:dyDescent="0.25">
      <c r="A236" s="2">
        <v>8</v>
      </c>
      <c r="B236" s="12" t="s">
        <v>1437</v>
      </c>
      <c r="C236" s="2" t="s">
        <v>21</v>
      </c>
      <c r="D236" s="2" t="s">
        <v>7</v>
      </c>
      <c r="E236" s="3" t="s">
        <v>1393</v>
      </c>
      <c r="I236" s="7" t="str">
        <f t="shared" si="9"/>
        <v>Pump5</v>
      </c>
      <c r="J236" s="7" t="str">
        <f t="shared" si="10"/>
        <v>FB_maintenance</v>
      </c>
      <c r="L236" s="13"/>
      <c r="M236" t="s">
        <v>1397</v>
      </c>
      <c r="N236" t="s">
        <v>1397</v>
      </c>
      <c r="O236" t="s">
        <v>1397</v>
      </c>
    </row>
    <row r="237" spans="1:18" x14ac:dyDescent="0.25">
      <c r="A237" s="2">
        <v>229</v>
      </c>
      <c r="B237" s="3" t="s">
        <v>464</v>
      </c>
      <c r="C237" s="2" t="s">
        <v>465</v>
      </c>
      <c r="D237" s="2" t="s">
        <v>24</v>
      </c>
      <c r="E237" s="3" t="s">
        <v>1352</v>
      </c>
      <c r="I237" s="7" t="str">
        <f t="shared" si="9"/>
        <v>Pump5</v>
      </c>
      <c r="J237" s="7" t="str">
        <f t="shared" si="10"/>
        <v>FB_Temp_DEBearing</v>
      </c>
      <c r="O237" t="s">
        <v>1399</v>
      </c>
      <c r="Q237" t="s">
        <v>1424</v>
      </c>
      <c r="R237" t="s">
        <v>1424</v>
      </c>
    </row>
    <row r="238" spans="1:18" x14ac:dyDescent="0.25">
      <c r="A238" s="2">
        <v>230</v>
      </c>
      <c r="B238" s="3" t="s">
        <v>466</v>
      </c>
      <c r="C238" s="2" t="s">
        <v>467</v>
      </c>
      <c r="D238" s="2" t="s">
        <v>24</v>
      </c>
      <c r="E238" s="3" t="s">
        <v>1353</v>
      </c>
      <c r="I238" s="7" t="str">
        <f t="shared" si="9"/>
        <v>Pump5</v>
      </c>
      <c r="J238" s="7" t="str">
        <f t="shared" si="10"/>
        <v>FB_Temp_NDEBearing</v>
      </c>
      <c r="O238" t="s">
        <v>1400</v>
      </c>
      <c r="Q238" t="s">
        <v>1425</v>
      </c>
      <c r="R238" t="s">
        <v>1425</v>
      </c>
    </row>
    <row r="239" spans="1:18" x14ac:dyDescent="0.25">
      <c r="A239" s="2">
        <v>231</v>
      </c>
      <c r="B239" s="3" t="s">
        <v>468</v>
      </c>
      <c r="C239" s="2" t="s">
        <v>469</v>
      </c>
      <c r="D239" s="2" t="s">
        <v>24</v>
      </c>
      <c r="E239" s="3" t="s">
        <v>1308</v>
      </c>
      <c r="I239" s="7" t="str">
        <f t="shared" si="9"/>
        <v>Pump5</v>
      </c>
      <c r="J239" s="7" t="str">
        <f t="shared" si="10"/>
        <v>FB_Temp_PhaseA</v>
      </c>
      <c r="O239" t="s">
        <v>1401</v>
      </c>
      <c r="Q239" t="s">
        <v>1426</v>
      </c>
      <c r="R239" t="s">
        <v>1426</v>
      </c>
    </row>
    <row r="240" spans="1:18" x14ac:dyDescent="0.25">
      <c r="A240" s="2">
        <v>232</v>
      </c>
      <c r="B240" s="3" t="s">
        <v>470</v>
      </c>
      <c r="C240" s="2" t="s">
        <v>471</v>
      </c>
      <c r="D240" s="2" t="s">
        <v>24</v>
      </c>
      <c r="E240" s="3" t="s">
        <v>1309</v>
      </c>
      <c r="I240" s="7" t="str">
        <f t="shared" si="9"/>
        <v>Pump5</v>
      </c>
      <c r="J240" s="7" t="str">
        <f t="shared" si="10"/>
        <v>FB_Temp_PhaseB</v>
      </c>
      <c r="O240" t="s">
        <v>1402</v>
      </c>
      <c r="Q240" t="s">
        <v>1427</v>
      </c>
      <c r="R240" t="s">
        <v>1427</v>
      </c>
    </row>
    <row r="241" spans="1:18" x14ac:dyDescent="0.25">
      <c r="A241" s="2">
        <v>233</v>
      </c>
      <c r="B241" s="3" t="s">
        <v>472</v>
      </c>
      <c r="C241" s="2" t="s">
        <v>473</v>
      </c>
      <c r="D241" s="2" t="s">
        <v>24</v>
      </c>
      <c r="E241" s="3" t="s">
        <v>1310</v>
      </c>
      <c r="I241" s="7" t="str">
        <f t="shared" si="9"/>
        <v>Pump5</v>
      </c>
      <c r="J241" s="7" t="str">
        <f t="shared" si="10"/>
        <v>FB_Temp_PhaseC</v>
      </c>
      <c r="O241" t="s">
        <v>1403</v>
      </c>
      <c r="Q241" t="s">
        <v>1428</v>
      </c>
      <c r="R241" t="s">
        <v>1428</v>
      </c>
    </row>
    <row r="242" spans="1:18" x14ac:dyDescent="0.25">
      <c r="A242" s="2">
        <v>234</v>
      </c>
      <c r="B242" s="3" t="s">
        <v>474</v>
      </c>
      <c r="C242" s="2" t="s">
        <v>475</v>
      </c>
      <c r="D242" s="2" t="s">
        <v>35</v>
      </c>
      <c r="E242" s="3" t="s">
        <v>1315</v>
      </c>
      <c r="I242" s="7" t="str">
        <f t="shared" si="9"/>
        <v>Meter5</v>
      </c>
      <c r="J242" s="7" t="str">
        <f t="shared" si="10"/>
        <v>U1</v>
      </c>
    </row>
    <row r="243" spans="1:18" x14ac:dyDescent="0.25">
      <c r="A243" s="2">
        <v>235</v>
      </c>
      <c r="B243" s="3" t="s">
        <v>476</v>
      </c>
      <c r="C243" s="2" t="s">
        <v>477</v>
      </c>
      <c r="D243" s="2" t="s">
        <v>35</v>
      </c>
      <c r="E243" s="3" t="s">
        <v>1316</v>
      </c>
      <c r="I243" s="7" t="str">
        <f t="shared" si="9"/>
        <v>Meter5</v>
      </c>
      <c r="J243" s="7" t="str">
        <f t="shared" si="10"/>
        <v>U2</v>
      </c>
    </row>
    <row r="244" spans="1:18" x14ac:dyDescent="0.25">
      <c r="A244" s="2">
        <v>236</v>
      </c>
      <c r="B244" s="3" t="s">
        <v>478</v>
      </c>
      <c r="C244" s="2" t="s">
        <v>479</v>
      </c>
      <c r="D244" s="2" t="s">
        <v>35</v>
      </c>
      <c r="E244" s="3" t="s">
        <v>1317</v>
      </c>
      <c r="I244" s="7" t="str">
        <f t="shared" si="9"/>
        <v>Meter5</v>
      </c>
      <c r="J244" s="7" t="str">
        <f t="shared" si="10"/>
        <v>U3</v>
      </c>
    </row>
    <row r="245" spans="1:18" x14ac:dyDescent="0.25">
      <c r="A245" s="2">
        <v>237</v>
      </c>
      <c r="B245" s="3" t="s">
        <v>480</v>
      </c>
      <c r="C245" s="2" t="s">
        <v>481</v>
      </c>
      <c r="D245" s="2" t="s">
        <v>35</v>
      </c>
      <c r="E245" s="3" t="s">
        <v>1318</v>
      </c>
      <c r="I245" s="7" t="str">
        <f t="shared" si="9"/>
        <v>Meter5</v>
      </c>
      <c r="J245" s="7" t="str">
        <f t="shared" si="10"/>
        <v>U_Ph</v>
      </c>
    </row>
    <row r="246" spans="1:18" x14ac:dyDescent="0.25">
      <c r="A246" s="2">
        <v>238</v>
      </c>
      <c r="B246" s="3" t="s">
        <v>482</v>
      </c>
      <c r="C246" s="2" t="s">
        <v>483</v>
      </c>
      <c r="D246" s="2" t="s">
        <v>35</v>
      </c>
      <c r="E246" s="3" t="s">
        <v>1319</v>
      </c>
      <c r="I246" s="7" t="str">
        <f t="shared" si="9"/>
        <v>Meter5</v>
      </c>
      <c r="J246" s="7" t="str">
        <f t="shared" si="10"/>
        <v>U12</v>
      </c>
      <c r="O246" t="s">
        <v>1319</v>
      </c>
      <c r="R246" t="s">
        <v>1319</v>
      </c>
    </row>
    <row r="247" spans="1:18" x14ac:dyDescent="0.25">
      <c r="A247" s="2">
        <v>239</v>
      </c>
      <c r="B247" s="3" t="s">
        <v>484</v>
      </c>
      <c r="C247" s="2" t="s">
        <v>485</v>
      </c>
      <c r="D247" s="2" t="s">
        <v>35</v>
      </c>
      <c r="E247" s="3" t="s">
        <v>1320</v>
      </c>
      <c r="I247" s="7" t="str">
        <f t="shared" si="9"/>
        <v>Meter5</v>
      </c>
      <c r="J247" s="7" t="str">
        <f t="shared" si="10"/>
        <v>U23</v>
      </c>
      <c r="O247" t="s">
        <v>1320</v>
      </c>
      <c r="R247" t="s">
        <v>1320</v>
      </c>
    </row>
    <row r="248" spans="1:18" x14ac:dyDescent="0.25">
      <c r="A248" s="2">
        <v>240</v>
      </c>
      <c r="B248" s="3" t="s">
        <v>486</v>
      </c>
      <c r="C248" s="2" t="s">
        <v>487</v>
      </c>
      <c r="D248" s="2" t="s">
        <v>35</v>
      </c>
      <c r="E248" s="3" t="s">
        <v>1321</v>
      </c>
      <c r="I248" s="7" t="str">
        <f t="shared" si="9"/>
        <v>Meter5</v>
      </c>
      <c r="J248" s="7" t="str">
        <f t="shared" si="10"/>
        <v>U31</v>
      </c>
      <c r="O248" t="s">
        <v>1321</v>
      </c>
      <c r="R248" t="s">
        <v>1321</v>
      </c>
    </row>
    <row r="249" spans="1:18" x14ac:dyDescent="0.25">
      <c r="A249" s="2">
        <v>241</v>
      </c>
      <c r="B249" s="3" t="s">
        <v>488</v>
      </c>
      <c r="C249" s="2" t="s">
        <v>489</v>
      </c>
      <c r="D249" s="2" t="s">
        <v>35</v>
      </c>
      <c r="E249" s="3" t="s">
        <v>1322</v>
      </c>
      <c r="I249" s="7" t="str">
        <f t="shared" si="9"/>
        <v>Meter5</v>
      </c>
      <c r="J249" s="7" t="str">
        <f t="shared" si="10"/>
        <v>Uline</v>
      </c>
    </row>
    <row r="250" spans="1:18" x14ac:dyDescent="0.25">
      <c r="A250" s="2">
        <v>242</v>
      </c>
      <c r="B250" s="3" t="s">
        <v>490</v>
      </c>
      <c r="C250" s="2" t="s">
        <v>491</v>
      </c>
      <c r="D250" s="2" t="s">
        <v>35</v>
      </c>
      <c r="E250" s="3" t="s">
        <v>1312</v>
      </c>
      <c r="I250" s="7" t="str">
        <f t="shared" si="9"/>
        <v>Meter5</v>
      </c>
      <c r="J250" s="7" t="str">
        <f t="shared" si="10"/>
        <v>I1</v>
      </c>
      <c r="Q250" s="3" t="s">
        <v>1429</v>
      </c>
      <c r="R250" s="3" t="s">
        <v>1429</v>
      </c>
    </row>
    <row r="251" spans="1:18" x14ac:dyDescent="0.25">
      <c r="A251" s="2">
        <v>243</v>
      </c>
      <c r="B251" s="3" t="s">
        <v>492</v>
      </c>
      <c r="C251" s="2" t="s">
        <v>493</v>
      </c>
      <c r="D251" s="2" t="s">
        <v>35</v>
      </c>
      <c r="E251" s="3" t="s">
        <v>1313</v>
      </c>
      <c r="I251" s="7" t="str">
        <f t="shared" si="9"/>
        <v>Meter5</v>
      </c>
      <c r="J251" s="7" t="str">
        <f t="shared" si="10"/>
        <v>I2</v>
      </c>
      <c r="Q251" s="3" t="s">
        <v>1430</v>
      </c>
      <c r="R251" s="3" t="s">
        <v>1430</v>
      </c>
    </row>
    <row r="252" spans="1:18" x14ac:dyDescent="0.25">
      <c r="A252" s="2">
        <v>244</v>
      </c>
      <c r="B252" s="3" t="s">
        <v>494</v>
      </c>
      <c r="C252" s="2" t="s">
        <v>495</v>
      </c>
      <c r="D252" s="2" t="s">
        <v>35</v>
      </c>
      <c r="E252" s="3" t="s">
        <v>1314</v>
      </c>
      <c r="I252" s="7" t="str">
        <f t="shared" si="9"/>
        <v>Meter5</v>
      </c>
      <c r="J252" s="7" t="str">
        <f t="shared" si="10"/>
        <v>I3</v>
      </c>
      <c r="Q252" s="3" t="s">
        <v>1431</v>
      </c>
      <c r="R252" s="3" t="s">
        <v>1431</v>
      </c>
    </row>
    <row r="253" spans="1:18" x14ac:dyDescent="0.25">
      <c r="A253" s="2">
        <v>245</v>
      </c>
      <c r="B253" s="3" t="s">
        <v>496</v>
      </c>
      <c r="C253" s="2" t="s">
        <v>497</v>
      </c>
      <c r="D253" s="2" t="s">
        <v>35</v>
      </c>
      <c r="E253" s="3" t="s">
        <v>1311</v>
      </c>
      <c r="I253" s="7" t="str">
        <f t="shared" si="9"/>
        <v>Meter5</v>
      </c>
      <c r="J253" s="7" t="str">
        <f t="shared" si="10"/>
        <v>I_ph</v>
      </c>
      <c r="N253" t="s">
        <v>1404</v>
      </c>
      <c r="O253" t="s">
        <v>1404</v>
      </c>
      <c r="R253" t="s">
        <v>1433</v>
      </c>
    </row>
    <row r="254" spans="1:18" x14ac:dyDescent="0.25">
      <c r="A254" s="2">
        <v>246</v>
      </c>
      <c r="B254" s="3" t="s">
        <v>498</v>
      </c>
      <c r="C254" s="2" t="s">
        <v>499</v>
      </c>
      <c r="D254" s="2" t="s">
        <v>35</v>
      </c>
      <c r="E254" s="3" t="s">
        <v>1323</v>
      </c>
      <c r="I254" s="7" t="str">
        <f t="shared" si="9"/>
        <v>Meter5</v>
      </c>
      <c r="J254" s="7" t="str">
        <f t="shared" si="10"/>
        <v>kw1</v>
      </c>
    </row>
    <row r="255" spans="1:18" x14ac:dyDescent="0.25">
      <c r="A255" s="2">
        <v>247</v>
      </c>
      <c r="B255" s="3" t="s">
        <v>500</v>
      </c>
      <c r="C255" s="2" t="s">
        <v>501</v>
      </c>
      <c r="D255" s="2" t="s">
        <v>35</v>
      </c>
      <c r="E255" s="3" t="s">
        <v>1324</v>
      </c>
      <c r="I255" s="7" t="str">
        <f t="shared" si="9"/>
        <v>Meter5</v>
      </c>
      <c r="J255" s="7" t="str">
        <f t="shared" si="10"/>
        <v>kw2</v>
      </c>
    </row>
    <row r="256" spans="1:18" x14ac:dyDescent="0.25">
      <c r="A256" s="2">
        <v>248</v>
      </c>
      <c r="B256" s="3" t="s">
        <v>502</v>
      </c>
      <c r="C256" s="2" t="s">
        <v>503</v>
      </c>
      <c r="D256" s="2" t="s">
        <v>35</v>
      </c>
      <c r="E256" s="3" t="s">
        <v>1325</v>
      </c>
      <c r="I256" s="7" t="str">
        <f t="shared" si="9"/>
        <v>Meter5</v>
      </c>
      <c r="J256" s="7" t="str">
        <f t="shared" si="10"/>
        <v>kw3</v>
      </c>
    </row>
    <row r="257" spans="1:18" x14ac:dyDescent="0.25">
      <c r="A257" s="2">
        <v>249</v>
      </c>
      <c r="B257" s="3" t="s">
        <v>504</v>
      </c>
      <c r="C257" s="2" t="s">
        <v>505</v>
      </c>
      <c r="D257" s="2" t="s">
        <v>35</v>
      </c>
      <c r="E257" s="3" t="s">
        <v>1326</v>
      </c>
      <c r="I257" s="7" t="str">
        <f t="shared" si="9"/>
        <v>Meter5</v>
      </c>
      <c r="J257" s="7" t="str">
        <f t="shared" si="10"/>
        <v>kva1</v>
      </c>
    </row>
    <row r="258" spans="1:18" x14ac:dyDescent="0.25">
      <c r="A258" s="2">
        <v>250</v>
      </c>
      <c r="B258" s="3" t="s">
        <v>506</v>
      </c>
      <c r="C258" s="2" t="s">
        <v>507</v>
      </c>
      <c r="D258" s="2" t="s">
        <v>35</v>
      </c>
      <c r="E258" s="3" t="s">
        <v>1327</v>
      </c>
      <c r="I258" s="7" t="str">
        <f t="shared" si="9"/>
        <v>Meter5</v>
      </c>
      <c r="J258" s="7" t="str">
        <f t="shared" si="10"/>
        <v>kva2</v>
      </c>
    </row>
    <row r="259" spans="1:18" x14ac:dyDescent="0.25">
      <c r="A259" s="2">
        <v>251</v>
      </c>
      <c r="B259" s="3" t="s">
        <v>508</v>
      </c>
      <c r="C259" s="2" t="s">
        <v>509</v>
      </c>
      <c r="D259" s="2" t="s">
        <v>35</v>
      </c>
      <c r="E259" s="3" t="s">
        <v>1328</v>
      </c>
      <c r="I259" s="7" t="str">
        <f t="shared" si="9"/>
        <v>Meter5</v>
      </c>
      <c r="J259" s="7" t="str">
        <f t="shared" si="10"/>
        <v>kva3</v>
      </c>
    </row>
    <row r="260" spans="1:18" x14ac:dyDescent="0.25">
      <c r="A260" s="2">
        <v>252</v>
      </c>
      <c r="B260" s="3" t="s">
        <v>510</v>
      </c>
      <c r="C260" s="2" t="s">
        <v>511</v>
      </c>
      <c r="D260" s="2" t="s">
        <v>35</v>
      </c>
      <c r="E260" s="3" t="s">
        <v>1329</v>
      </c>
      <c r="I260" s="7" t="str">
        <f t="shared" si="9"/>
        <v>Meter5</v>
      </c>
      <c r="J260" s="7" t="str">
        <f t="shared" si="10"/>
        <v>kvar1</v>
      </c>
    </row>
    <row r="261" spans="1:18" x14ac:dyDescent="0.25">
      <c r="A261" s="2">
        <v>253</v>
      </c>
      <c r="B261" s="3" t="s">
        <v>512</v>
      </c>
      <c r="C261" s="2" t="s">
        <v>513</v>
      </c>
      <c r="D261" s="2" t="s">
        <v>35</v>
      </c>
      <c r="E261" s="3" t="s">
        <v>1330</v>
      </c>
      <c r="I261" s="7" t="str">
        <f t="shared" si="9"/>
        <v>Meter5</v>
      </c>
      <c r="J261" s="7" t="str">
        <f t="shared" si="10"/>
        <v>kvar2</v>
      </c>
    </row>
    <row r="262" spans="1:18" x14ac:dyDescent="0.25">
      <c r="A262" s="2">
        <v>254</v>
      </c>
      <c r="B262" s="3" t="s">
        <v>514</v>
      </c>
      <c r="C262" s="2" t="s">
        <v>515</v>
      </c>
      <c r="D262" s="2" t="s">
        <v>35</v>
      </c>
      <c r="E262" s="3" t="s">
        <v>1331</v>
      </c>
      <c r="I262" s="7" t="str">
        <f t="shared" si="9"/>
        <v>Meter5</v>
      </c>
      <c r="J262" s="7" t="str">
        <f t="shared" si="10"/>
        <v>kvar3</v>
      </c>
    </row>
    <row r="263" spans="1:18" x14ac:dyDescent="0.25">
      <c r="A263" s="2">
        <v>255</v>
      </c>
      <c r="B263" s="3" t="s">
        <v>516</v>
      </c>
      <c r="C263" s="2" t="s">
        <v>517</v>
      </c>
      <c r="D263" s="2" t="s">
        <v>35</v>
      </c>
      <c r="E263" s="3" t="s">
        <v>1332</v>
      </c>
      <c r="I263" s="7" t="str">
        <f t="shared" si="9"/>
        <v>Meter5</v>
      </c>
      <c r="J263" s="7" t="str">
        <f t="shared" si="10"/>
        <v>total_kw</v>
      </c>
      <c r="O263" t="s">
        <v>1406</v>
      </c>
      <c r="R263" t="s">
        <v>1406</v>
      </c>
    </row>
    <row r="264" spans="1:18" x14ac:dyDescent="0.25">
      <c r="A264" s="2">
        <v>256</v>
      </c>
      <c r="B264" s="3" t="s">
        <v>518</v>
      </c>
      <c r="C264" s="2" t="s">
        <v>519</v>
      </c>
      <c r="D264" s="2" t="s">
        <v>35</v>
      </c>
      <c r="E264" s="3" t="s">
        <v>1333</v>
      </c>
      <c r="I264" s="7" t="str">
        <f t="shared" si="9"/>
        <v>Meter5</v>
      </c>
      <c r="J264" s="7" t="str">
        <f t="shared" si="10"/>
        <v>total_kva</v>
      </c>
    </row>
    <row r="265" spans="1:18" x14ac:dyDescent="0.25">
      <c r="A265" s="2">
        <v>257</v>
      </c>
      <c r="B265" s="3" t="s">
        <v>520</v>
      </c>
      <c r="C265" s="2" t="s">
        <v>521</v>
      </c>
      <c r="D265" s="2" t="s">
        <v>35</v>
      </c>
      <c r="E265" s="3" t="s">
        <v>1334</v>
      </c>
      <c r="I265" s="7" t="str">
        <f t="shared" si="9"/>
        <v>Meter5</v>
      </c>
      <c r="J265" s="7" t="str">
        <f t="shared" si="10"/>
        <v>total_kvar</v>
      </c>
    </row>
    <row r="266" spans="1:18" x14ac:dyDescent="0.25">
      <c r="A266" s="2">
        <v>258</v>
      </c>
      <c r="B266" s="3" t="s">
        <v>522</v>
      </c>
      <c r="C266" s="2" t="s">
        <v>523</v>
      </c>
      <c r="D266" s="2" t="s">
        <v>35</v>
      </c>
      <c r="E266" s="3" t="s">
        <v>1335</v>
      </c>
      <c r="I266" s="7" t="str">
        <f t="shared" ref="I266:I330" si="11">LEFT(B266, SEARCH("_",B266 ) - 1)</f>
        <v>Meter5</v>
      </c>
      <c r="J266" s="7" t="str">
        <f t="shared" si="10"/>
        <v>PF1</v>
      </c>
    </row>
    <row r="267" spans="1:18" x14ac:dyDescent="0.25">
      <c r="A267" s="2">
        <v>259</v>
      </c>
      <c r="B267" s="3" t="s">
        <v>524</v>
      </c>
      <c r="C267" s="2" t="s">
        <v>525</v>
      </c>
      <c r="D267" s="2" t="s">
        <v>35</v>
      </c>
      <c r="E267" s="3" t="s">
        <v>1336</v>
      </c>
      <c r="I267" s="7" t="str">
        <f t="shared" si="11"/>
        <v>Meter5</v>
      </c>
      <c r="J267" s="7" t="str">
        <f t="shared" si="10"/>
        <v>PF2</v>
      </c>
    </row>
    <row r="268" spans="1:18" x14ac:dyDescent="0.25">
      <c r="A268" s="2">
        <v>260</v>
      </c>
      <c r="B268" s="3" t="s">
        <v>526</v>
      </c>
      <c r="C268" s="2" t="s">
        <v>527</v>
      </c>
      <c r="D268" s="2" t="s">
        <v>35</v>
      </c>
      <c r="E268" s="3" t="s">
        <v>1337</v>
      </c>
      <c r="I268" s="7" t="str">
        <f t="shared" si="11"/>
        <v>Meter5</v>
      </c>
      <c r="J268" s="7" t="str">
        <f t="shared" si="10"/>
        <v>PF3</v>
      </c>
    </row>
    <row r="269" spans="1:18" x14ac:dyDescent="0.25">
      <c r="A269" s="2">
        <v>261</v>
      </c>
      <c r="B269" s="3" t="s">
        <v>528</v>
      </c>
      <c r="C269" s="2" t="s">
        <v>529</v>
      </c>
      <c r="D269" s="2" t="s">
        <v>35</v>
      </c>
      <c r="E269" s="3" t="s">
        <v>1338</v>
      </c>
      <c r="I269" s="7" t="str">
        <f t="shared" si="11"/>
        <v>Meter5</v>
      </c>
      <c r="J269" s="7" t="str">
        <f t="shared" si="10"/>
        <v>PF</v>
      </c>
      <c r="O269" t="s">
        <v>1405</v>
      </c>
      <c r="R269" t="s">
        <v>1405</v>
      </c>
    </row>
    <row r="270" spans="1:18" x14ac:dyDescent="0.25">
      <c r="A270" s="2">
        <v>262</v>
      </c>
      <c r="B270" s="3" t="s">
        <v>530</v>
      </c>
      <c r="C270" s="2" t="s">
        <v>531</v>
      </c>
      <c r="D270" s="2" t="s">
        <v>35</v>
      </c>
      <c r="E270" s="3" t="s">
        <v>1339</v>
      </c>
      <c r="I270" s="7" t="str">
        <f t="shared" si="11"/>
        <v>Meter5</v>
      </c>
      <c r="J270" s="7" t="str">
        <f t="shared" si="10"/>
        <v>freq</v>
      </c>
      <c r="O270" t="s">
        <v>1339</v>
      </c>
      <c r="R270" t="s">
        <v>1339</v>
      </c>
    </row>
    <row r="271" spans="1:18" x14ac:dyDescent="0.25">
      <c r="A271" s="2">
        <v>263</v>
      </c>
      <c r="B271" s="3" t="s">
        <v>532</v>
      </c>
      <c r="C271" s="2" t="s">
        <v>533</v>
      </c>
      <c r="D271" s="2" t="s">
        <v>35</v>
      </c>
      <c r="E271" s="3" t="s">
        <v>1340</v>
      </c>
      <c r="I271" s="7" t="str">
        <f t="shared" si="11"/>
        <v>Meter5</v>
      </c>
      <c r="J271" s="7" t="str">
        <f t="shared" ref="J271:J335" si="12">RIGHT(B271, LEN(B271)-SEARCH("_",B271 ))</f>
        <v>kwh</v>
      </c>
      <c r="O271" t="s">
        <v>1340</v>
      </c>
      <c r="R271" t="s">
        <v>1340</v>
      </c>
    </row>
    <row r="272" spans="1:18" x14ac:dyDescent="0.25">
      <c r="A272" s="2">
        <v>264</v>
      </c>
      <c r="B272" s="3" t="s">
        <v>534</v>
      </c>
      <c r="C272" s="2" t="s">
        <v>535</v>
      </c>
      <c r="D272" s="2" t="s">
        <v>35</v>
      </c>
      <c r="E272" s="3" t="s">
        <v>1341</v>
      </c>
      <c r="I272" s="7" t="str">
        <f t="shared" si="11"/>
        <v>Meter5</v>
      </c>
      <c r="J272" s="7" t="str">
        <f t="shared" si="12"/>
        <v>kvah</v>
      </c>
    </row>
    <row r="273" spans="1:16" x14ac:dyDescent="0.25">
      <c r="A273" s="2">
        <v>265</v>
      </c>
      <c r="B273" s="3" t="s">
        <v>536</v>
      </c>
      <c r="C273" s="2" t="s">
        <v>537</v>
      </c>
      <c r="D273" s="2" t="s">
        <v>35</v>
      </c>
      <c r="E273" s="3" t="s">
        <v>1342</v>
      </c>
      <c r="I273" s="7" t="str">
        <f t="shared" si="11"/>
        <v>Meter5</v>
      </c>
      <c r="J273" s="7" t="str">
        <f t="shared" si="12"/>
        <v>kvarh</v>
      </c>
    </row>
    <row r="274" spans="1:16" x14ac:dyDescent="0.25">
      <c r="A274" s="2">
        <v>266</v>
      </c>
      <c r="B274" s="3" t="s">
        <v>538</v>
      </c>
      <c r="C274" s="2" t="s">
        <v>539</v>
      </c>
      <c r="D274" s="2" t="s">
        <v>7</v>
      </c>
      <c r="E274" s="3" t="s">
        <v>1343</v>
      </c>
      <c r="I274" s="7" t="str">
        <f t="shared" si="11"/>
        <v>Pump5</v>
      </c>
      <c r="J274" s="7" t="str">
        <f t="shared" si="12"/>
        <v>Ctrl_run_Pump</v>
      </c>
    </row>
    <row r="275" spans="1:16" x14ac:dyDescent="0.25">
      <c r="A275" s="2">
        <v>267</v>
      </c>
      <c r="B275" s="3" t="s">
        <v>540</v>
      </c>
      <c r="C275" s="2" t="s">
        <v>541</v>
      </c>
      <c r="D275" s="2" t="s">
        <v>7</v>
      </c>
      <c r="E275" s="3" t="s">
        <v>1354</v>
      </c>
      <c r="I275" s="7" t="str">
        <f t="shared" si="11"/>
        <v>Pump5</v>
      </c>
      <c r="J275" s="7" t="str">
        <f t="shared" si="12"/>
        <v>FB_Fault</v>
      </c>
      <c r="L275" s="11"/>
      <c r="P275" t="s">
        <v>1397</v>
      </c>
    </row>
    <row r="276" spans="1:16" x14ac:dyDescent="0.25">
      <c r="A276" s="2">
        <v>268</v>
      </c>
      <c r="B276" s="3" t="s">
        <v>542</v>
      </c>
      <c r="C276" s="2" t="s">
        <v>543</v>
      </c>
      <c r="D276" s="2" t="s">
        <v>7</v>
      </c>
      <c r="E276" s="3" t="s">
        <v>1344</v>
      </c>
      <c r="I276" s="7" t="str">
        <f t="shared" si="11"/>
        <v>Pump5</v>
      </c>
      <c r="J276" s="7" t="str">
        <f t="shared" si="12"/>
        <v>Ctrl_PB_Run</v>
      </c>
    </row>
    <row r="277" spans="1:16" x14ac:dyDescent="0.25">
      <c r="A277" s="2">
        <v>269</v>
      </c>
      <c r="B277" s="3" t="s">
        <v>544</v>
      </c>
      <c r="C277" s="2" t="s">
        <v>545</v>
      </c>
      <c r="D277" s="2" t="s">
        <v>7</v>
      </c>
      <c r="E277" s="3" t="s">
        <v>1345</v>
      </c>
      <c r="I277" s="7" t="str">
        <f t="shared" si="11"/>
        <v>Pump5</v>
      </c>
      <c r="J277" s="7" t="str">
        <f t="shared" si="12"/>
        <v>Ctrl_PB_Stop</v>
      </c>
    </row>
    <row r="278" spans="1:16" x14ac:dyDescent="0.25">
      <c r="A278" s="2">
        <v>270</v>
      </c>
      <c r="B278" s="3" t="s">
        <v>546</v>
      </c>
      <c r="C278" s="2" t="s">
        <v>547</v>
      </c>
      <c r="D278" s="2" t="s">
        <v>7</v>
      </c>
      <c r="E278" s="3" t="s">
        <v>1346</v>
      </c>
      <c r="I278" s="7" t="str">
        <f t="shared" si="11"/>
        <v>Pump5</v>
      </c>
      <c r="J278" s="7" t="str">
        <f t="shared" si="12"/>
        <v>Ctrl_PB_RST</v>
      </c>
    </row>
    <row r="279" spans="1:16" x14ac:dyDescent="0.25">
      <c r="A279" s="2">
        <v>271</v>
      </c>
      <c r="B279" s="3" t="s">
        <v>548</v>
      </c>
      <c r="C279" s="2" t="s">
        <v>549</v>
      </c>
      <c r="D279" s="2" t="s">
        <v>24</v>
      </c>
      <c r="E279" s="3" t="s">
        <v>1347</v>
      </c>
      <c r="I279" s="7" t="str">
        <f t="shared" si="11"/>
        <v>Pump5</v>
      </c>
      <c r="J279" s="7" t="str">
        <f t="shared" si="12"/>
        <v>Time_Run_M</v>
      </c>
      <c r="O279" s="20" t="s">
        <v>1417</v>
      </c>
    </row>
    <row r="280" spans="1:16" x14ac:dyDescent="0.25">
      <c r="A280" s="2">
        <v>272</v>
      </c>
      <c r="B280" s="3" t="s">
        <v>550</v>
      </c>
      <c r="C280" s="2" t="s">
        <v>551</v>
      </c>
      <c r="D280" s="2" t="s">
        <v>24</v>
      </c>
      <c r="E280" s="3" t="s">
        <v>1348</v>
      </c>
      <c r="I280" s="7" t="str">
        <f t="shared" si="11"/>
        <v>Pump5</v>
      </c>
      <c r="J280" s="7" t="str">
        <f t="shared" si="12"/>
        <v>Time_Run_H</v>
      </c>
      <c r="O280" s="20"/>
    </row>
    <row r="281" spans="1:16" x14ac:dyDescent="0.25">
      <c r="A281" s="2">
        <v>273</v>
      </c>
      <c r="B281" s="3" t="s">
        <v>552</v>
      </c>
      <c r="C281" s="2" t="s">
        <v>553</v>
      </c>
      <c r="D281" s="2" t="s">
        <v>24</v>
      </c>
      <c r="E281" s="3" t="s">
        <v>1349</v>
      </c>
      <c r="I281" s="7" t="str">
        <f t="shared" si="11"/>
        <v>Pump5</v>
      </c>
      <c r="J281" s="7" t="str">
        <f t="shared" si="12"/>
        <v>Total_Time_Run_M</v>
      </c>
      <c r="O281" s="20" t="s">
        <v>1418</v>
      </c>
    </row>
    <row r="282" spans="1:16" x14ac:dyDescent="0.25">
      <c r="A282" s="2">
        <v>274</v>
      </c>
      <c r="B282" s="3" t="s">
        <v>554</v>
      </c>
      <c r="C282" s="2" t="s">
        <v>555</v>
      </c>
      <c r="D282" s="2" t="s">
        <v>24</v>
      </c>
      <c r="E282" s="3" t="s">
        <v>1350</v>
      </c>
      <c r="I282" s="7" t="str">
        <f t="shared" si="11"/>
        <v>Pump5</v>
      </c>
      <c r="J282" s="7" t="str">
        <f t="shared" si="12"/>
        <v>Total_Time_Run_H</v>
      </c>
      <c r="N282" t="s">
        <v>1407</v>
      </c>
      <c r="O282" s="20"/>
    </row>
    <row r="283" spans="1:16" x14ac:dyDescent="0.25">
      <c r="A283" s="2">
        <v>275</v>
      </c>
      <c r="B283" s="3" t="s">
        <v>556</v>
      </c>
      <c r="C283" s="2" t="s">
        <v>557</v>
      </c>
      <c r="D283" s="2" t="s">
        <v>24</v>
      </c>
      <c r="E283" s="3" t="s">
        <v>1351</v>
      </c>
      <c r="I283" s="7" t="str">
        <f t="shared" si="11"/>
        <v>Pump5</v>
      </c>
      <c r="J283" s="7" t="str">
        <f t="shared" si="12"/>
        <v>NumberOfclose</v>
      </c>
    </row>
    <row r="284" spans="1:16" x14ac:dyDescent="0.25">
      <c r="A284" s="2">
        <v>276</v>
      </c>
      <c r="B284" s="3" t="s">
        <v>558</v>
      </c>
      <c r="C284" s="2" t="s">
        <v>559</v>
      </c>
      <c r="D284" s="2" t="s">
        <v>7</v>
      </c>
      <c r="E284" s="3" t="s">
        <v>1355</v>
      </c>
      <c r="I284" s="7" t="str">
        <f t="shared" si="11"/>
        <v>Pump6</v>
      </c>
      <c r="J284" s="7" t="str">
        <f t="shared" si="12"/>
        <v>FB_auto</v>
      </c>
    </row>
    <row r="285" spans="1:16" x14ac:dyDescent="0.25">
      <c r="A285" s="2">
        <v>277</v>
      </c>
      <c r="B285" s="3" t="s">
        <v>560</v>
      </c>
      <c r="C285" s="2" t="s">
        <v>561</v>
      </c>
      <c r="D285" s="2" t="s">
        <v>7</v>
      </c>
      <c r="E285" s="3" t="s">
        <v>1306</v>
      </c>
      <c r="I285" s="7" t="str">
        <f t="shared" si="11"/>
        <v>Pump6</v>
      </c>
      <c r="J285" s="7" t="str">
        <f t="shared" si="12"/>
        <v>FB_Run</v>
      </c>
      <c r="L285" s="9"/>
      <c r="M285" t="s">
        <v>1397</v>
      </c>
      <c r="N285" t="s">
        <v>1397</v>
      </c>
      <c r="O285" t="s">
        <v>1397</v>
      </c>
    </row>
    <row r="286" spans="1:16" x14ac:dyDescent="0.25">
      <c r="A286" s="2">
        <v>278</v>
      </c>
      <c r="B286" s="3" t="s">
        <v>562</v>
      </c>
      <c r="C286" s="2" t="s">
        <v>563</v>
      </c>
      <c r="D286" s="2" t="s">
        <v>7</v>
      </c>
      <c r="E286" s="3" t="s">
        <v>1307</v>
      </c>
      <c r="I286" s="7" t="str">
        <f t="shared" si="11"/>
        <v>Pump6</v>
      </c>
      <c r="J286" s="7" t="str">
        <f t="shared" si="12"/>
        <v>FB_Fault_V</v>
      </c>
      <c r="P286" t="s">
        <v>1397</v>
      </c>
    </row>
    <row r="287" spans="1:16" x14ac:dyDescent="0.25">
      <c r="A287" s="2">
        <v>279</v>
      </c>
      <c r="B287" s="3" t="s">
        <v>564</v>
      </c>
      <c r="C287" s="2" t="s">
        <v>565</v>
      </c>
      <c r="D287" s="2" t="s">
        <v>7</v>
      </c>
      <c r="E287" s="3" t="s">
        <v>1307</v>
      </c>
      <c r="I287" s="7" t="str">
        <f t="shared" si="11"/>
        <v>Pump6</v>
      </c>
      <c r="J287" s="7" t="str">
        <f t="shared" si="12"/>
        <v>FB_Fault_SS</v>
      </c>
      <c r="M287" t="s">
        <v>1397</v>
      </c>
      <c r="P287" t="s">
        <v>1397</v>
      </c>
    </row>
    <row r="288" spans="1:16" x14ac:dyDescent="0.25">
      <c r="A288" s="2">
        <v>280</v>
      </c>
      <c r="B288" s="3" t="s">
        <v>566</v>
      </c>
      <c r="C288" s="2" t="s">
        <v>567</v>
      </c>
      <c r="D288" s="2" t="s">
        <v>7</v>
      </c>
      <c r="E288" s="3" t="s">
        <v>1356</v>
      </c>
      <c r="I288" s="7" t="str">
        <f t="shared" si="11"/>
        <v>Pump6</v>
      </c>
      <c r="J288" s="7" t="str">
        <f t="shared" si="12"/>
        <v>FB_Fault_Temp</v>
      </c>
      <c r="P288" t="s">
        <v>1397</v>
      </c>
    </row>
    <row r="289" spans="1:18" x14ac:dyDescent="0.25">
      <c r="A289" s="2">
        <v>281</v>
      </c>
      <c r="B289" s="3" t="s">
        <v>568</v>
      </c>
      <c r="C289" s="2" t="s">
        <v>569</v>
      </c>
      <c r="D289" s="2" t="s">
        <v>7</v>
      </c>
      <c r="E289" s="3" t="s">
        <v>1307</v>
      </c>
      <c r="I289" s="7" t="str">
        <f t="shared" si="11"/>
        <v>Pump6</v>
      </c>
      <c r="J289" s="7" t="str">
        <f t="shared" si="12"/>
        <v>FB_Fault_Curent</v>
      </c>
      <c r="P289" t="s">
        <v>1397</v>
      </c>
    </row>
    <row r="290" spans="1:18" x14ac:dyDescent="0.25">
      <c r="A290" s="2">
        <v>282</v>
      </c>
      <c r="B290" s="3" t="s">
        <v>570</v>
      </c>
      <c r="C290" s="2" t="s">
        <v>571</v>
      </c>
      <c r="D290" s="2" t="s">
        <v>7</v>
      </c>
      <c r="E290" s="3" t="s">
        <v>1357</v>
      </c>
      <c r="I290" s="7" t="str">
        <f t="shared" si="11"/>
        <v>Pump6</v>
      </c>
      <c r="J290" s="7" t="str">
        <f t="shared" si="12"/>
        <v>Clock_1m</v>
      </c>
    </row>
    <row r="291" spans="1:18" x14ac:dyDescent="0.25">
      <c r="A291" s="2">
        <v>283</v>
      </c>
      <c r="B291" s="3" t="s">
        <v>572</v>
      </c>
      <c r="C291" s="2" t="s">
        <v>573</v>
      </c>
      <c r="D291" s="2" t="s">
        <v>7</v>
      </c>
      <c r="E291" s="3" t="s">
        <v>1358</v>
      </c>
      <c r="I291" s="7" t="str">
        <f t="shared" si="11"/>
        <v>Pump6</v>
      </c>
      <c r="J291" s="7" t="str">
        <f t="shared" si="12"/>
        <v>FB_stop</v>
      </c>
      <c r="L291" s="10"/>
      <c r="M291" t="s">
        <v>1397</v>
      </c>
      <c r="N291" t="s">
        <v>1397</v>
      </c>
      <c r="O291" t="s">
        <v>1397</v>
      </c>
    </row>
    <row r="292" spans="1:18" x14ac:dyDescent="0.25">
      <c r="A292" s="2">
        <v>8</v>
      </c>
      <c r="B292" s="12" t="s">
        <v>1438</v>
      </c>
      <c r="C292" s="2" t="s">
        <v>21</v>
      </c>
      <c r="D292" s="2" t="s">
        <v>7</v>
      </c>
      <c r="E292" s="3" t="s">
        <v>1393</v>
      </c>
      <c r="I292" s="7" t="str">
        <f t="shared" si="11"/>
        <v>Pump6</v>
      </c>
      <c r="J292" s="7" t="str">
        <f t="shared" si="12"/>
        <v>FB_maintenance</v>
      </c>
      <c r="L292" s="13"/>
      <c r="M292" t="s">
        <v>1397</v>
      </c>
      <c r="N292" t="s">
        <v>1397</v>
      </c>
      <c r="O292" t="s">
        <v>1397</v>
      </c>
    </row>
    <row r="293" spans="1:18" x14ac:dyDescent="0.25">
      <c r="A293" s="2">
        <v>284</v>
      </c>
      <c r="B293" s="3" t="s">
        <v>574</v>
      </c>
      <c r="C293" s="2" t="s">
        <v>575</v>
      </c>
      <c r="D293" s="2" t="s">
        <v>24</v>
      </c>
      <c r="E293" s="3" t="s">
        <v>1352</v>
      </c>
      <c r="I293" s="7" t="str">
        <f t="shared" si="11"/>
        <v>Pump6</v>
      </c>
      <c r="J293" s="7" t="str">
        <f t="shared" si="12"/>
        <v>FB_Temp_DEBearing</v>
      </c>
      <c r="O293" t="s">
        <v>1399</v>
      </c>
      <c r="Q293" t="s">
        <v>1424</v>
      </c>
      <c r="R293" t="s">
        <v>1424</v>
      </c>
    </row>
    <row r="294" spans="1:18" x14ac:dyDescent="0.25">
      <c r="A294" s="2">
        <v>285</v>
      </c>
      <c r="B294" s="3" t="s">
        <v>576</v>
      </c>
      <c r="C294" s="2" t="s">
        <v>577</v>
      </c>
      <c r="D294" s="2" t="s">
        <v>24</v>
      </c>
      <c r="E294" s="3" t="s">
        <v>1353</v>
      </c>
      <c r="I294" s="7" t="str">
        <f t="shared" si="11"/>
        <v>Pump6</v>
      </c>
      <c r="J294" s="7" t="str">
        <f t="shared" si="12"/>
        <v>FB_Temp_NDEBearing</v>
      </c>
      <c r="O294" t="s">
        <v>1400</v>
      </c>
      <c r="Q294" t="s">
        <v>1425</v>
      </c>
      <c r="R294" t="s">
        <v>1425</v>
      </c>
    </row>
    <row r="295" spans="1:18" x14ac:dyDescent="0.25">
      <c r="A295" s="2">
        <v>286</v>
      </c>
      <c r="B295" s="3" t="s">
        <v>578</v>
      </c>
      <c r="C295" s="2" t="s">
        <v>579</v>
      </c>
      <c r="D295" s="2" t="s">
        <v>24</v>
      </c>
      <c r="E295" s="3" t="s">
        <v>1308</v>
      </c>
      <c r="I295" s="7" t="str">
        <f t="shared" si="11"/>
        <v>Pump6</v>
      </c>
      <c r="J295" s="7" t="str">
        <f t="shared" si="12"/>
        <v>FB_Temp_PhaseA</v>
      </c>
      <c r="O295" t="s">
        <v>1401</v>
      </c>
      <c r="Q295" t="s">
        <v>1426</v>
      </c>
      <c r="R295" t="s">
        <v>1426</v>
      </c>
    </row>
    <row r="296" spans="1:18" x14ac:dyDescent="0.25">
      <c r="A296" s="2">
        <v>287</v>
      </c>
      <c r="B296" s="3" t="s">
        <v>580</v>
      </c>
      <c r="C296" s="2" t="s">
        <v>581</v>
      </c>
      <c r="D296" s="2" t="s">
        <v>24</v>
      </c>
      <c r="E296" s="3" t="s">
        <v>1309</v>
      </c>
      <c r="I296" s="7" t="str">
        <f t="shared" si="11"/>
        <v>Pump6</v>
      </c>
      <c r="J296" s="7" t="str">
        <f t="shared" si="12"/>
        <v>FB_Temp_PhaseB</v>
      </c>
      <c r="O296" t="s">
        <v>1402</v>
      </c>
      <c r="Q296" t="s">
        <v>1427</v>
      </c>
      <c r="R296" t="s">
        <v>1427</v>
      </c>
    </row>
    <row r="297" spans="1:18" x14ac:dyDescent="0.25">
      <c r="A297" s="2">
        <v>288</v>
      </c>
      <c r="B297" s="3" t="s">
        <v>582</v>
      </c>
      <c r="C297" s="2" t="s">
        <v>583</v>
      </c>
      <c r="D297" s="2" t="s">
        <v>24</v>
      </c>
      <c r="E297" s="3" t="s">
        <v>1310</v>
      </c>
      <c r="I297" s="7" t="str">
        <f t="shared" si="11"/>
        <v>Pump6</v>
      </c>
      <c r="J297" s="7" t="str">
        <f t="shared" si="12"/>
        <v>FB_Temp_PhaseC</v>
      </c>
      <c r="O297" t="s">
        <v>1403</v>
      </c>
      <c r="Q297" t="s">
        <v>1428</v>
      </c>
      <c r="R297" t="s">
        <v>1428</v>
      </c>
    </row>
    <row r="298" spans="1:18" x14ac:dyDescent="0.25">
      <c r="A298" s="2">
        <v>289</v>
      </c>
      <c r="B298" s="3" t="s">
        <v>584</v>
      </c>
      <c r="C298" s="2" t="s">
        <v>585</v>
      </c>
      <c r="D298" s="2" t="s">
        <v>35</v>
      </c>
      <c r="E298" s="3" t="s">
        <v>1315</v>
      </c>
      <c r="I298" s="7" t="str">
        <f t="shared" si="11"/>
        <v>Meter6</v>
      </c>
      <c r="J298" s="7" t="str">
        <f t="shared" si="12"/>
        <v>U1</v>
      </c>
    </row>
    <row r="299" spans="1:18" x14ac:dyDescent="0.25">
      <c r="A299" s="2">
        <v>290</v>
      </c>
      <c r="B299" s="3" t="s">
        <v>586</v>
      </c>
      <c r="C299" s="2" t="s">
        <v>587</v>
      </c>
      <c r="D299" s="2" t="s">
        <v>35</v>
      </c>
      <c r="E299" s="3" t="s">
        <v>1316</v>
      </c>
      <c r="I299" s="7" t="str">
        <f t="shared" si="11"/>
        <v>Meter6</v>
      </c>
      <c r="J299" s="7" t="str">
        <f t="shared" si="12"/>
        <v>U2</v>
      </c>
    </row>
    <row r="300" spans="1:18" x14ac:dyDescent="0.25">
      <c r="A300" s="2">
        <v>291</v>
      </c>
      <c r="B300" s="3" t="s">
        <v>588</v>
      </c>
      <c r="C300" s="2" t="s">
        <v>589</v>
      </c>
      <c r="D300" s="2" t="s">
        <v>35</v>
      </c>
      <c r="E300" s="3" t="s">
        <v>1317</v>
      </c>
      <c r="I300" s="7" t="str">
        <f t="shared" si="11"/>
        <v>Meter6</v>
      </c>
      <c r="J300" s="7" t="str">
        <f t="shared" si="12"/>
        <v>U3</v>
      </c>
    </row>
    <row r="301" spans="1:18" x14ac:dyDescent="0.25">
      <c r="A301" s="2">
        <v>292</v>
      </c>
      <c r="B301" s="3" t="s">
        <v>590</v>
      </c>
      <c r="C301" s="2" t="s">
        <v>591</v>
      </c>
      <c r="D301" s="2" t="s">
        <v>35</v>
      </c>
      <c r="E301" s="3" t="s">
        <v>1318</v>
      </c>
      <c r="I301" s="7" t="str">
        <f t="shared" si="11"/>
        <v>Meter6</v>
      </c>
      <c r="J301" s="7" t="str">
        <f t="shared" si="12"/>
        <v>U_Ph</v>
      </c>
    </row>
    <row r="302" spans="1:18" x14ac:dyDescent="0.25">
      <c r="A302" s="2">
        <v>293</v>
      </c>
      <c r="B302" s="3" t="s">
        <v>592</v>
      </c>
      <c r="C302" s="2" t="s">
        <v>593</v>
      </c>
      <c r="D302" s="2" t="s">
        <v>35</v>
      </c>
      <c r="E302" s="3" t="s">
        <v>1319</v>
      </c>
      <c r="I302" s="7" t="str">
        <f t="shared" si="11"/>
        <v>Meter6</v>
      </c>
      <c r="J302" s="7" t="str">
        <f t="shared" si="12"/>
        <v>U12</v>
      </c>
      <c r="O302" t="s">
        <v>1319</v>
      </c>
      <c r="R302" t="s">
        <v>1319</v>
      </c>
    </row>
    <row r="303" spans="1:18" x14ac:dyDescent="0.25">
      <c r="A303" s="2">
        <v>294</v>
      </c>
      <c r="B303" s="3" t="s">
        <v>594</v>
      </c>
      <c r="C303" s="2" t="s">
        <v>595</v>
      </c>
      <c r="D303" s="2" t="s">
        <v>35</v>
      </c>
      <c r="E303" s="3" t="s">
        <v>1320</v>
      </c>
      <c r="I303" s="7" t="str">
        <f t="shared" si="11"/>
        <v>Meter6</v>
      </c>
      <c r="J303" s="7" t="str">
        <f t="shared" si="12"/>
        <v>U23</v>
      </c>
      <c r="O303" t="s">
        <v>1320</v>
      </c>
      <c r="R303" t="s">
        <v>1320</v>
      </c>
    </row>
    <row r="304" spans="1:18" x14ac:dyDescent="0.25">
      <c r="A304" s="2">
        <v>295</v>
      </c>
      <c r="B304" s="3" t="s">
        <v>596</v>
      </c>
      <c r="C304" s="2" t="s">
        <v>597</v>
      </c>
      <c r="D304" s="2" t="s">
        <v>35</v>
      </c>
      <c r="E304" s="3" t="s">
        <v>1321</v>
      </c>
      <c r="I304" s="7" t="str">
        <f t="shared" si="11"/>
        <v>Meter6</v>
      </c>
      <c r="J304" s="7" t="str">
        <f t="shared" si="12"/>
        <v>U31</v>
      </c>
      <c r="O304" t="s">
        <v>1321</v>
      </c>
      <c r="R304" t="s">
        <v>1321</v>
      </c>
    </row>
    <row r="305" spans="1:18" x14ac:dyDescent="0.25">
      <c r="A305" s="2">
        <v>296</v>
      </c>
      <c r="B305" s="3" t="s">
        <v>598</v>
      </c>
      <c r="C305" s="2" t="s">
        <v>599</v>
      </c>
      <c r="D305" s="2" t="s">
        <v>35</v>
      </c>
      <c r="E305" s="3" t="s">
        <v>1322</v>
      </c>
      <c r="I305" s="7" t="str">
        <f t="shared" si="11"/>
        <v>Meter6</v>
      </c>
      <c r="J305" s="7" t="str">
        <f t="shared" si="12"/>
        <v>Uline</v>
      </c>
    </row>
    <row r="306" spans="1:18" x14ac:dyDescent="0.25">
      <c r="A306" s="2">
        <v>297</v>
      </c>
      <c r="B306" s="3" t="s">
        <v>600</v>
      </c>
      <c r="C306" s="2" t="s">
        <v>601</v>
      </c>
      <c r="D306" s="2" t="s">
        <v>35</v>
      </c>
      <c r="E306" s="3" t="s">
        <v>1312</v>
      </c>
      <c r="I306" s="7" t="str">
        <f t="shared" si="11"/>
        <v>Meter6</v>
      </c>
      <c r="J306" s="7" t="str">
        <f t="shared" si="12"/>
        <v>I1</v>
      </c>
      <c r="Q306" s="3" t="s">
        <v>1429</v>
      </c>
      <c r="R306" s="3" t="s">
        <v>1429</v>
      </c>
    </row>
    <row r="307" spans="1:18" x14ac:dyDescent="0.25">
      <c r="A307" s="2">
        <v>298</v>
      </c>
      <c r="B307" s="3" t="s">
        <v>602</v>
      </c>
      <c r="C307" s="2" t="s">
        <v>603</v>
      </c>
      <c r="D307" s="2" t="s">
        <v>35</v>
      </c>
      <c r="E307" s="3" t="s">
        <v>1313</v>
      </c>
      <c r="I307" s="7" t="str">
        <f t="shared" si="11"/>
        <v>Meter6</v>
      </c>
      <c r="J307" s="7" t="str">
        <f t="shared" si="12"/>
        <v>I2</v>
      </c>
      <c r="Q307" s="3" t="s">
        <v>1430</v>
      </c>
      <c r="R307" s="3" t="s">
        <v>1430</v>
      </c>
    </row>
    <row r="308" spans="1:18" x14ac:dyDescent="0.25">
      <c r="A308" s="2">
        <v>299</v>
      </c>
      <c r="B308" s="3" t="s">
        <v>604</v>
      </c>
      <c r="C308" s="2" t="s">
        <v>605</v>
      </c>
      <c r="D308" s="2" t="s">
        <v>35</v>
      </c>
      <c r="E308" s="3" t="s">
        <v>1314</v>
      </c>
      <c r="I308" s="7" t="str">
        <f t="shared" si="11"/>
        <v>Meter6</v>
      </c>
      <c r="J308" s="7" t="str">
        <f t="shared" si="12"/>
        <v>I3</v>
      </c>
      <c r="Q308" s="3" t="s">
        <v>1431</v>
      </c>
      <c r="R308" s="3" t="s">
        <v>1431</v>
      </c>
    </row>
    <row r="309" spans="1:18" x14ac:dyDescent="0.25">
      <c r="A309" s="2">
        <v>300</v>
      </c>
      <c r="B309" s="3" t="s">
        <v>606</v>
      </c>
      <c r="C309" s="2" t="s">
        <v>607</v>
      </c>
      <c r="D309" s="2" t="s">
        <v>35</v>
      </c>
      <c r="E309" s="3" t="s">
        <v>1311</v>
      </c>
      <c r="I309" s="7" t="str">
        <f t="shared" si="11"/>
        <v>Meter6</v>
      </c>
      <c r="J309" s="7" t="str">
        <f t="shared" si="12"/>
        <v>I_ph</v>
      </c>
      <c r="N309" t="s">
        <v>1404</v>
      </c>
      <c r="O309" t="s">
        <v>1404</v>
      </c>
      <c r="R309" t="s">
        <v>1433</v>
      </c>
    </row>
    <row r="310" spans="1:18" x14ac:dyDescent="0.25">
      <c r="A310" s="2">
        <v>301</v>
      </c>
      <c r="B310" s="3" t="s">
        <v>608</v>
      </c>
      <c r="C310" s="2" t="s">
        <v>609</v>
      </c>
      <c r="D310" s="2" t="s">
        <v>35</v>
      </c>
      <c r="E310" s="3" t="s">
        <v>1323</v>
      </c>
      <c r="I310" s="7" t="str">
        <f t="shared" si="11"/>
        <v>Meter6</v>
      </c>
      <c r="J310" s="7" t="str">
        <f t="shared" si="12"/>
        <v>kw1</v>
      </c>
    </row>
    <row r="311" spans="1:18" x14ac:dyDescent="0.25">
      <c r="A311" s="2">
        <v>302</v>
      </c>
      <c r="B311" s="3" t="s">
        <v>610</v>
      </c>
      <c r="C311" s="2" t="s">
        <v>611</v>
      </c>
      <c r="D311" s="2" t="s">
        <v>35</v>
      </c>
      <c r="E311" s="3" t="s">
        <v>1324</v>
      </c>
      <c r="I311" s="7" t="str">
        <f t="shared" si="11"/>
        <v>Meter6</v>
      </c>
      <c r="J311" s="7" t="str">
        <f t="shared" si="12"/>
        <v>kw2</v>
      </c>
    </row>
    <row r="312" spans="1:18" x14ac:dyDescent="0.25">
      <c r="A312" s="2">
        <v>303</v>
      </c>
      <c r="B312" s="3" t="s">
        <v>612</v>
      </c>
      <c r="C312" s="2" t="s">
        <v>613</v>
      </c>
      <c r="D312" s="2" t="s">
        <v>35</v>
      </c>
      <c r="E312" s="3" t="s">
        <v>1325</v>
      </c>
      <c r="I312" s="7" t="str">
        <f t="shared" si="11"/>
        <v>Meter6</v>
      </c>
      <c r="J312" s="7" t="str">
        <f t="shared" si="12"/>
        <v>kw3</v>
      </c>
    </row>
    <row r="313" spans="1:18" x14ac:dyDescent="0.25">
      <c r="A313" s="2">
        <v>304</v>
      </c>
      <c r="B313" s="3" t="s">
        <v>614</v>
      </c>
      <c r="C313" s="2" t="s">
        <v>615</v>
      </c>
      <c r="D313" s="2" t="s">
        <v>35</v>
      </c>
      <c r="E313" s="3" t="s">
        <v>1326</v>
      </c>
      <c r="I313" s="7" t="str">
        <f t="shared" si="11"/>
        <v>Meter6</v>
      </c>
      <c r="J313" s="7" t="str">
        <f t="shared" si="12"/>
        <v>kva1</v>
      </c>
    </row>
    <row r="314" spans="1:18" x14ac:dyDescent="0.25">
      <c r="A314" s="2">
        <v>305</v>
      </c>
      <c r="B314" s="3" t="s">
        <v>616</v>
      </c>
      <c r="C314" s="2" t="s">
        <v>617</v>
      </c>
      <c r="D314" s="2" t="s">
        <v>35</v>
      </c>
      <c r="E314" s="3" t="s">
        <v>1327</v>
      </c>
      <c r="I314" s="7" t="str">
        <f t="shared" si="11"/>
        <v>Meter6</v>
      </c>
      <c r="J314" s="7" t="str">
        <f t="shared" si="12"/>
        <v>kva2</v>
      </c>
    </row>
    <row r="315" spans="1:18" x14ac:dyDescent="0.25">
      <c r="A315" s="2">
        <v>306</v>
      </c>
      <c r="B315" s="3" t="s">
        <v>618</v>
      </c>
      <c r="C315" s="2" t="s">
        <v>619</v>
      </c>
      <c r="D315" s="2" t="s">
        <v>35</v>
      </c>
      <c r="E315" s="3" t="s">
        <v>1328</v>
      </c>
      <c r="I315" s="7" t="str">
        <f t="shared" si="11"/>
        <v>Meter6</v>
      </c>
      <c r="J315" s="7" t="str">
        <f t="shared" si="12"/>
        <v>kva3</v>
      </c>
    </row>
    <row r="316" spans="1:18" x14ac:dyDescent="0.25">
      <c r="A316" s="2">
        <v>307</v>
      </c>
      <c r="B316" s="3" t="s">
        <v>620</v>
      </c>
      <c r="C316" s="2" t="s">
        <v>621</v>
      </c>
      <c r="D316" s="2" t="s">
        <v>35</v>
      </c>
      <c r="E316" s="3" t="s">
        <v>1329</v>
      </c>
      <c r="I316" s="7" t="str">
        <f t="shared" si="11"/>
        <v>Meter6</v>
      </c>
      <c r="J316" s="7" t="str">
        <f t="shared" si="12"/>
        <v>kvar1</v>
      </c>
    </row>
    <row r="317" spans="1:18" x14ac:dyDescent="0.25">
      <c r="A317" s="2">
        <v>308</v>
      </c>
      <c r="B317" s="3" t="s">
        <v>622</v>
      </c>
      <c r="C317" s="2" t="s">
        <v>623</v>
      </c>
      <c r="D317" s="2" t="s">
        <v>35</v>
      </c>
      <c r="E317" s="3" t="s">
        <v>1330</v>
      </c>
      <c r="I317" s="7" t="str">
        <f t="shared" si="11"/>
        <v>Meter6</v>
      </c>
      <c r="J317" s="7" t="str">
        <f t="shared" si="12"/>
        <v>kvar2</v>
      </c>
    </row>
    <row r="318" spans="1:18" x14ac:dyDescent="0.25">
      <c r="A318" s="2">
        <v>309</v>
      </c>
      <c r="B318" s="3" t="s">
        <v>624</v>
      </c>
      <c r="C318" s="2" t="s">
        <v>625</v>
      </c>
      <c r="D318" s="2" t="s">
        <v>35</v>
      </c>
      <c r="E318" s="3" t="s">
        <v>1331</v>
      </c>
      <c r="I318" s="7" t="str">
        <f t="shared" si="11"/>
        <v>Meter6</v>
      </c>
      <c r="J318" s="7" t="str">
        <f t="shared" si="12"/>
        <v>kvar3</v>
      </c>
    </row>
    <row r="319" spans="1:18" x14ac:dyDescent="0.25">
      <c r="A319" s="2">
        <v>310</v>
      </c>
      <c r="B319" s="3" t="s">
        <v>626</v>
      </c>
      <c r="C319" s="2" t="s">
        <v>627</v>
      </c>
      <c r="D319" s="2" t="s">
        <v>35</v>
      </c>
      <c r="E319" s="3" t="s">
        <v>1332</v>
      </c>
      <c r="I319" s="7" t="str">
        <f t="shared" si="11"/>
        <v>Meter6</v>
      </c>
      <c r="J319" s="7" t="str">
        <f t="shared" si="12"/>
        <v>total_kw</v>
      </c>
      <c r="O319" t="s">
        <v>1406</v>
      </c>
      <c r="R319" t="s">
        <v>1406</v>
      </c>
    </row>
    <row r="320" spans="1:18" x14ac:dyDescent="0.25">
      <c r="A320" s="2">
        <v>311</v>
      </c>
      <c r="B320" s="3" t="s">
        <v>628</v>
      </c>
      <c r="C320" s="2" t="s">
        <v>629</v>
      </c>
      <c r="D320" s="2" t="s">
        <v>35</v>
      </c>
      <c r="E320" s="3" t="s">
        <v>1333</v>
      </c>
      <c r="I320" s="7" t="str">
        <f t="shared" si="11"/>
        <v>Meter6</v>
      </c>
      <c r="J320" s="7" t="str">
        <f t="shared" si="12"/>
        <v>total_kva</v>
      </c>
    </row>
    <row r="321" spans="1:18" x14ac:dyDescent="0.25">
      <c r="A321" s="2">
        <v>312</v>
      </c>
      <c r="B321" s="3" t="s">
        <v>630</v>
      </c>
      <c r="C321" s="2" t="s">
        <v>631</v>
      </c>
      <c r="D321" s="2" t="s">
        <v>35</v>
      </c>
      <c r="E321" s="3" t="s">
        <v>1334</v>
      </c>
      <c r="I321" s="7" t="str">
        <f t="shared" si="11"/>
        <v>Meter6</v>
      </c>
      <c r="J321" s="7" t="str">
        <f t="shared" si="12"/>
        <v>total_kvar</v>
      </c>
    </row>
    <row r="322" spans="1:18" x14ac:dyDescent="0.25">
      <c r="A322" s="2">
        <v>313</v>
      </c>
      <c r="B322" s="3" t="s">
        <v>632</v>
      </c>
      <c r="C322" s="2" t="s">
        <v>633</v>
      </c>
      <c r="D322" s="2" t="s">
        <v>35</v>
      </c>
      <c r="E322" s="3" t="s">
        <v>1335</v>
      </c>
      <c r="I322" s="7" t="str">
        <f t="shared" si="11"/>
        <v>Meter6</v>
      </c>
      <c r="J322" s="7" t="str">
        <f t="shared" si="12"/>
        <v>PF1</v>
      </c>
    </row>
    <row r="323" spans="1:18" x14ac:dyDescent="0.25">
      <c r="A323" s="2">
        <v>314</v>
      </c>
      <c r="B323" s="3" t="s">
        <v>634</v>
      </c>
      <c r="C323" s="2" t="s">
        <v>635</v>
      </c>
      <c r="D323" s="2" t="s">
        <v>35</v>
      </c>
      <c r="E323" s="3" t="s">
        <v>1336</v>
      </c>
      <c r="I323" s="7" t="str">
        <f t="shared" si="11"/>
        <v>Meter6</v>
      </c>
      <c r="J323" s="7" t="str">
        <f t="shared" si="12"/>
        <v>PF2</v>
      </c>
    </row>
    <row r="324" spans="1:18" x14ac:dyDescent="0.25">
      <c r="A324" s="2">
        <v>315</v>
      </c>
      <c r="B324" s="3" t="s">
        <v>636</v>
      </c>
      <c r="C324" s="2" t="s">
        <v>637</v>
      </c>
      <c r="D324" s="2" t="s">
        <v>35</v>
      </c>
      <c r="E324" s="3" t="s">
        <v>1337</v>
      </c>
      <c r="I324" s="7" t="str">
        <f t="shared" si="11"/>
        <v>Meter6</v>
      </c>
      <c r="J324" s="7" t="str">
        <f t="shared" si="12"/>
        <v>PF3</v>
      </c>
    </row>
    <row r="325" spans="1:18" x14ac:dyDescent="0.25">
      <c r="A325" s="2">
        <v>316</v>
      </c>
      <c r="B325" s="3" t="s">
        <v>638</v>
      </c>
      <c r="C325" s="2" t="s">
        <v>639</v>
      </c>
      <c r="D325" s="2" t="s">
        <v>35</v>
      </c>
      <c r="E325" s="3" t="s">
        <v>1338</v>
      </c>
      <c r="I325" s="7" t="str">
        <f t="shared" si="11"/>
        <v>Meter6</v>
      </c>
      <c r="J325" s="7" t="str">
        <f t="shared" si="12"/>
        <v>PF</v>
      </c>
      <c r="O325" t="s">
        <v>1405</v>
      </c>
      <c r="R325" t="s">
        <v>1405</v>
      </c>
    </row>
    <row r="326" spans="1:18" x14ac:dyDescent="0.25">
      <c r="A326" s="2">
        <v>317</v>
      </c>
      <c r="B326" s="3" t="s">
        <v>640</v>
      </c>
      <c r="C326" s="2" t="s">
        <v>641</v>
      </c>
      <c r="D326" s="2" t="s">
        <v>35</v>
      </c>
      <c r="E326" s="3" t="s">
        <v>1339</v>
      </c>
      <c r="I326" s="7" t="str">
        <f t="shared" si="11"/>
        <v>Meter6</v>
      </c>
      <c r="J326" s="7" t="str">
        <f t="shared" si="12"/>
        <v>freq</v>
      </c>
      <c r="O326" t="s">
        <v>1339</v>
      </c>
      <c r="R326" t="s">
        <v>1339</v>
      </c>
    </row>
    <row r="327" spans="1:18" x14ac:dyDescent="0.25">
      <c r="A327" s="2">
        <v>318</v>
      </c>
      <c r="B327" s="3" t="s">
        <v>642</v>
      </c>
      <c r="C327" s="2" t="s">
        <v>643</v>
      </c>
      <c r="D327" s="2" t="s">
        <v>35</v>
      </c>
      <c r="E327" s="3" t="s">
        <v>1340</v>
      </c>
      <c r="I327" s="7" t="str">
        <f t="shared" si="11"/>
        <v>Meter6</v>
      </c>
      <c r="J327" s="7" t="str">
        <f t="shared" si="12"/>
        <v>kwh</v>
      </c>
      <c r="O327" t="s">
        <v>1340</v>
      </c>
      <c r="R327" t="s">
        <v>1340</v>
      </c>
    </row>
    <row r="328" spans="1:18" x14ac:dyDescent="0.25">
      <c r="A328" s="2">
        <v>319</v>
      </c>
      <c r="B328" s="3" t="s">
        <v>644</v>
      </c>
      <c r="C328" s="2" t="s">
        <v>645</v>
      </c>
      <c r="D328" s="2" t="s">
        <v>35</v>
      </c>
      <c r="E328" s="3" t="s">
        <v>1341</v>
      </c>
      <c r="I328" s="7" t="str">
        <f t="shared" si="11"/>
        <v>Meter6</v>
      </c>
      <c r="J328" s="7" t="str">
        <f t="shared" si="12"/>
        <v>kvah</v>
      </c>
    </row>
    <row r="329" spans="1:18" x14ac:dyDescent="0.25">
      <c r="A329" s="2">
        <v>320</v>
      </c>
      <c r="B329" s="3" t="s">
        <v>646</v>
      </c>
      <c r="C329" s="2" t="s">
        <v>647</v>
      </c>
      <c r="D329" s="2" t="s">
        <v>35</v>
      </c>
      <c r="E329" s="3" t="s">
        <v>1342</v>
      </c>
      <c r="I329" s="7" t="str">
        <f t="shared" si="11"/>
        <v>Meter6</v>
      </c>
      <c r="J329" s="7" t="str">
        <f t="shared" si="12"/>
        <v>kvarh</v>
      </c>
    </row>
    <row r="330" spans="1:18" x14ac:dyDescent="0.25">
      <c r="A330" s="2">
        <v>321</v>
      </c>
      <c r="B330" s="3" t="s">
        <v>648</v>
      </c>
      <c r="C330" s="2" t="s">
        <v>649</v>
      </c>
      <c r="D330" s="2" t="s">
        <v>7</v>
      </c>
      <c r="E330" s="3" t="s">
        <v>1343</v>
      </c>
      <c r="I330" s="7" t="str">
        <f t="shared" si="11"/>
        <v>Pump6</v>
      </c>
      <c r="J330" s="7" t="str">
        <f t="shared" si="12"/>
        <v>Ctrl_run_Pump</v>
      </c>
    </row>
    <row r="331" spans="1:18" x14ac:dyDescent="0.25">
      <c r="A331" s="2">
        <v>322</v>
      </c>
      <c r="B331" s="3" t="s">
        <v>650</v>
      </c>
      <c r="C331" s="2" t="s">
        <v>651</v>
      </c>
      <c r="D331" s="2" t="s">
        <v>7</v>
      </c>
      <c r="E331" s="3" t="s">
        <v>1354</v>
      </c>
      <c r="I331" s="7" t="str">
        <f t="shared" ref="I331:I395" si="13">LEFT(B331, SEARCH("_",B331 ) - 1)</f>
        <v>Pump6</v>
      </c>
      <c r="J331" s="7" t="str">
        <f t="shared" si="12"/>
        <v>FB_Fault</v>
      </c>
      <c r="L331" s="11"/>
      <c r="P331" t="s">
        <v>1397</v>
      </c>
    </row>
    <row r="332" spans="1:18" x14ac:dyDescent="0.25">
      <c r="A332" s="2">
        <v>323</v>
      </c>
      <c r="B332" s="3" t="s">
        <v>652</v>
      </c>
      <c r="C332" s="2" t="s">
        <v>653</v>
      </c>
      <c r="D332" s="2" t="s">
        <v>7</v>
      </c>
      <c r="E332" s="3" t="s">
        <v>1344</v>
      </c>
      <c r="I332" s="7" t="str">
        <f t="shared" si="13"/>
        <v>Pump6</v>
      </c>
      <c r="J332" s="7" t="str">
        <f t="shared" si="12"/>
        <v>Ctrl_PB_Run</v>
      </c>
    </row>
    <row r="333" spans="1:18" x14ac:dyDescent="0.25">
      <c r="A333" s="2">
        <v>324</v>
      </c>
      <c r="B333" s="3" t="s">
        <v>654</v>
      </c>
      <c r="C333" s="2" t="s">
        <v>655</v>
      </c>
      <c r="D333" s="2" t="s">
        <v>7</v>
      </c>
      <c r="E333" s="3" t="s">
        <v>1345</v>
      </c>
      <c r="I333" s="7" t="str">
        <f t="shared" si="13"/>
        <v>Pump6</v>
      </c>
      <c r="J333" s="7" t="str">
        <f t="shared" si="12"/>
        <v>Ctrl_PB_Stop</v>
      </c>
    </row>
    <row r="334" spans="1:18" x14ac:dyDescent="0.25">
      <c r="A334" s="2">
        <v>325</v>
      </c>
      <c r="B334" s="3" t="s">
        <v>656</v>
      </c>
      <c r="C334" s="2" t="s">
        <v>657</v>
      </c>
      <c r="D334" s="2" t="s">
        <v>7</v>
      </c>
      <c r="E334" s="3" t="s">
        <v>1346</v>
      </c>
      <c r="I334" s="7" t="str">
        <f t="shared" si="13"/>
        <v>Pump6</v>
      </c>
      <c r="J334" s="7" t="str">
        <f t="shared" si="12"/>
        <v>Ctrl_PB_RST</v>
      </c>
    </row>
    <row r="335" spans="1:18" x14ac:dyDescent="0.25">
      <c r="A335" s="2">
        <v>326</v>
      </c>
      <c r="B335" s="3" t="s">
        <v>658</v>
      </c>
      <c r="C335" s="2" t="s">
        <v>659</v>
      </c>
      <c r="D335" s="2" t="s">
        <v>24</v>
      </c>
      <c r="E335" s="3" t="s">
        <v>1347</v>
      </c>
      <c r="I335" s="7" t="str">
        <f t="shared" si="13"/>
        <v>Pump6</v>
      </c>
      <c r="J335" s="7" t="str">
        <f t="shared" si="12"/>
        <v>Time_Run_M</v>
      </c>
      <c r="O335" s="20" t="s">
        <v>1417</v>
      </c>
    </row>
    <row r="336" spans="1:18" x14ac:dyDescent="0.25">
      <c r="A336" s="2">
        <v>327</v>
      </c>
      <c r="B336" s="3" t="s">
        <v>660</v>
      </c>
      <c r="C336" s="2" t="s">
        <v>661</v>
      </c>
      <c r="D336" s="2" t="s">
        <v>24</v>
      </c>
      <c r="E336" s="3" t="s">
        <v>1348</v>
      </c>
      <c r="I336" s="7" t="str">
        <f t="shared" si="13"/>
        <v>Pump6</v>
      </c>
      <c r="J336" s="7" t="str">
        <f t="shared" ref="J336:J400" si="14">RIGHT(B336, LEN(B336)-SEARCH("_",B336 ))</f>
        <v>Time_Run_H</v>
      </c>
      <c r="O336" s="20"/>
    </row>
    <row r="337" spans="1:18" x14ac:dyDescent="0.25">
      <c r="A337" s="2">
        <v>328</v>
      </c>
      <c r="B337" s="3" t="s">
        <v>662</v>
      </c>
      <c r="C337" s="2" t="s">
        <v>663</v>
      </c>
      <c r="D337" s="2" t="s">
        <v>24</v>
      </c>
      <c r="E337" s="3" t="s">
        <v>1349</v>
      </c>
      <c r="I337" s="7" t="str">
        <f t="shared" si="13"/>
        <v>Pump6</v>
      </c>
      <c r="J337" s="7" t="str">
        <f t="shared" si="14"/>
        <v>Total_Time_Run_M</v>
      </c>
      <c r="O337" s="20" t="s">
        <v>1418</v>
      </c>
    </row>
    <row r="338" spans="1:18" x14ac:dyDescent="0.25">
      <c r="A338" s="2">
        <v>329</v>
      </c>
      <c r="B338" s="3" t="s">
        <v>664</v>
      </c>
      <c r="C338" s="2" t="s">
        <v>665</v>
      </c>
      <c r="D338" s="2" t="s">
        <v>24</v>
      </c>
      <c r="E338" s="3" t="s">
        <v>1350</v>
      </c>
      <c r="I338" s="7" t="str">
        <f t="shared" si="13"/>
        <v>Pump6</v>
      </c>
      <c r="J338" s="7" t="str">
        <f t="shared" si="14"/>
        <v>Total_Time_Run_H</v>
      </c>
      <c r="N338" t="s">
        <v>1407</v>
      </c>
      <c r="O338" s="20"/>
    </row>
    <row r="339" spans="1:18" x14ac:dyDescent="0.25">
      <c r="A339" s="2">
        <v>330</v>
      </c>
      <c r="B339" s="3" t="s">
        <v>666</v>
      </c>
      <c r="C339" s="2" t="s">
        <v>667</v>
      </c>
      <c r="D339" s="2" t="s">
        <v>24</v>
      </c>
      <c r="E339" s="3" t="s">
        <v>1351</v>
      </c>
      <c r="I339" s="7" t="str">
        <f t="shared" si="13"/>
        <v>Pump6</v>
      </c>
      <c r="J339" s="7" t="str">
        <f t="shared" si="14"/>
        <v>NumberOfclose</v>
      </c>
    </row>
    <row r="340" spans="1:18" x14ac:dyDescent="0.25">
      <c r="A340" s="2">
        <v>331</v>
      </c>
      <c r="B340" s="3" t="s">
        <v>668</v>
      </c>
      <c r="C340" s="2" t="s">
        <v>669</v>
      </c>
      <c r="D340" s="2" t="s">
        <v>7</v>
      </c>
      <c r="E340" s="3" t="s">
        <v>1355</v>
      </c>
      <c r="I340" s="7" t="str">
        <f t="shared" si="13"/>
        <v>Pump7</v>
      </c>
      <c r="J340" s="7" t="str">
        <f t="shared" si="14"/>
        <v>FB_auto</v>
      </c>
    </row>
    <row r="341" spans="1:18" x14ac:dyDescent="0.25">
      <c r="A341" s="2">
        <v>332</v>
      </c>
      <c r="B341" s="3" t="s">
        <v>670</v>
      </c>
      <c r="C341" s="2" t="s">
        <v>671</v>
      </c>
      <c r="D341" s="2" t="s">
        <v>7</v>
      </c>
      <c r="E341" s="3" t="s">
        <v>1306</v>
      </c>
      <c r="I341" s="7" t="str">
        <f t="shared" si="13"/>
        <v>Pump7</v>
      </c>
      <c r="J341" s="7" t="str">
        <f t="shared" si="14"/>
        <v>FB_Run</v>
      </c>
      <c r="L341" s="9"/>
      <c r="M341" t="s">
        <v>1397</v>
      </c>
      <c r="N341" t="s">
        <v>1397</v>
      </c>
      <c r="O341" t="s">
        <v>1397</v>
      </c>
    </row>
    <row r="342" spans="1:18" x14ac:dyDescent="0.25">
      <c r="A342" s="2">
        <v>333</v>
      </c>
      <c r="B342" s="3" t="s">
        <v>672</v>
      </c>
      <c r="C342" s="2" t="s">
        <v>673</v>
      </c>
      <c r="D342" s="2" t="s">
        <v>7</v>
      </c>
      <c r="E342" s="3" t="s">
        <v>1307</v>
      </c>
      <c r="I342" s="7" t="str">
        <f t="shared" si="13"/>
        <v>Pump7</v>
      </c>
      <c r="J342" s="7" t="str">
        <f t="shared" si="14"/>
        <v>FB_Fault_V</v>
      </c>
      <c r="P342" t="s">
        <v>1397</v>
      </c>
    </row>
    <row r="343" spans="1:18" x14ac:dyDescent="0.25">
      <c r="A343" s="2">
        <v>334</v>
      </c>
      <c r="B343" s="3" t="s">
        <v>674</v>
      </c>
      <c r="C343" s="2" t="s">
        <v>675</v>
      </c>
      <c r="D343" s="2" t="s">
        <v>7</v>
      </c>
      <c r="E343" s="3" t="s">
        <v>1307</v>
      </c>
      <c r="I343" s="7" t="str">
        <f t="shared" si="13"/>
        <v>Pump7</v>
      </c>
      <c r="J343" s="7" t="str">
        <f t="shared" si="14"/>
        <v>FB_Fault_SS</v>
      </c>
      <c r="M343" t="s">
        <v>1397</v>
      </c>
      <c r="P343" t="s">
        <v>1397</v>
      </c>
    </row>
    <row r="344" spans="1:18" x14ac:dyDescent="0.25">
      <c r="A344" s="2">
        <v>335</v>
      </c>
      <c r="B344" s="3" t="s">
        <v>676</v>
      </c>
      <c r="C344" s="2" t="s">
        <v>677</v>
      </c>
      <c r="D344" s="2" t="s">
        <v>7</v>
      </c>
      <c r="E344" s="3" t="s">
        <v>1356</v>
      </c>
      <c r="I344" s="7" t="str">
        <f t="shared" si="13"/>
        <v>Pump7</v>
      </c>
      <c r="J344" s="7" t="str">
        <f t="shared" si="14"/>
        <v>FB_Fault_Temp</v>
      </c>
      <c r="P344" t="s">
        <v>1397</v>
      </c>
    </row>
    <row r="345" spans="1:18" x14ac:dyDescent="0.25">
      <c r="A345" s="2">
        <v>336</v>
      </c>
      <c r="B345" s="3" t="s">
        <v>678</v>
      </c>
      <c r="C345" s="2" t="s">
        <v>679</v>
      </c>
      <c r="D345" s="2" t="s">
        <v>7</v>
      </c>
      <c r="E345" s="3" t="s">
        <v>1307</v>
      </c>
      <c r="I345" s="7" t="str">
        <f t="shared" si="13"/>
        <v>Pump7</v>
      </c>
      <c r="J345" s="7" t="str">
        <f t="shared" si="14"/>
        <v>FB_Fault_Curent</v>
      </c>
      <c r="P345" t="s">
        <v>1397</v>
      </c>
    </row>
    <row r="346" spans="1:18" x14ac:dyDescent="0.25">
      <c r="A346" s="2">
        <v>337</v>
      </c>
      <c r="B346" s="3" t="s">
        <v>680</v>
      </c>
      <c r="C346" s="2" t="s">
        <v>681</v>
      </c>
      <c r="D346" s="2" t="s">
        <v>7</v>
      </c>
      <c r="E346" s="3" t="s">
        <v>1357</v>
      </c>
      <c r="I346" s="7" t="str">
        <f t="shared" si="13"/>
        <v>Pump7</v>
      </c>
      <c r="J346" s="7" t="str">
        <f t="shared" si="14"/>
        <v>Clock_1m</v>
      </c>
    </row>
    <row r="347" spans="1:18" x14ac:dyDescent="0.25">
      <c r="A347" s="2">
        <v>338</v>
      </c>
      <c r="B347" s="3" t="s">
        <v>682</v>
      </c>
      <c r="C347" s="2" t="s">
        <v>683</v>
      </c>
      <c r="D347" s="2" t="s">
        <v>7</v>
      </c>
      <c r="E347" s="3" t="s">
        <v>1358</v>
      </c>
      <c r="I347" s="7" t="str">
        <f t="shared" si="13"/>
        <v>Pump7</v>
      </c>
      <c r="J347" s="7" t="str">
        <f t="shared" si="14"/>
        <v>FB_stop</v>
      </c>
      <c r="L347" s="10"/>
      <c r="M347" t="s">
        <v>1397</v>
      </c>
      <c r="N347" t="s">
        <v>1397</v>
      </c>
      <c r="O347" t="s">
        <v>1397</v>
      </c>
    </row>
    <row r="348" spans="1:18" x14ac:dyDescent="0.25">
      <c r="A348" s="2">
        <v>8</v>
      </c>
      <c r="B348" s="12" t="s">
        <v>1439</v>
      </c>
      <c r="C348" s="2" t="s">
        <v>21</v>
      </c>
      <c r="D348" s="2" t="s">
        <v>7</v>
      </c>
      <c r="E348" s="3" t="s">
        <v>1393</v>
      </c>
      <c r="I348" s="7" t="str">
        <f t="shared" si="13"/>
        <v>Pump7</v>
      </c>
      <c r="J348" s="7" t="str">
        <f t="shared" si="14"/>
        <v>FB_maintenance</v>
      </c>
      <c r="L348" s="13"/>
      <c r="M348" t="s">
        <v>1397</v>
      </c>
      <c r="N348" t="s">
        <v>1397</v>
      </c>
      <c r="O348" t="s">
        <v>1397</v>
      </c>
    </row>
    <row r="349" spans="1:18" x14ac:dyDescent="0.25">
      <c r="A349" s="2">
        <v>339</v>
      </c>
      <c r="B349" s="3" t="s">
        <v>684</v>
      </c>
      <c r="C349" s="2" t="s">
        <v>685</v>
      </c>
      <c r="D349" s="2" t="s">
        <v>24</v>
      </c>
      <c r="E349" s="3" t="s">
        <v>1352</v>
      </c>
      <c r="I349" s="7" t="str">
        <f t="shared" si="13"/>
        <v>Pump7</v>
      </c>
      <c r="J349" s="7" t="str">
        <f t="shared" si="14"/>
        <v>FB_Temp_DEBearing</v>
      </c>
      <c r="O349" t="s">
        <v>1399</v>
      </c>
      <c r="Q349" t="s">
        <v>1424</v>
      </c>
      <c r="R349" t="s">
        <v>1424</v>
      </c>
    </row>
    <row r="350" spans="1:18" x14ac:dyDescent="0.25">
      <c r="A350" s="2">
        <v>340</v>
      </c>
      <c r="B350" s="3" t="s">
        <v>686</v>
      </c>
      <c r="C350" s="2" t="s">
        <v>687</v>
      </c>
      <c r="D350" s="2" t="s">
        <v>24</v>
      </c>
      <c r="E350" s="3" t="s">
        <v>1353</v>
      </c>
      <c r="I350" s="7" t="str">
        <f t="shared" si="13"/>
        <v>Pump7</v>
      </c>
      <c r="J350" s="7" t="str">
        <f t="shared" si="14"/>
        <v>FB_Temp_NDEBearing</v>
      </c>
      <c r="O350" t="s">
        <v>1400</v>
      </c>
      <c r="Q350" t="s">
        <v>1425</v>
      </c>
      <c r="R350" t="s">
        <v>1425</v>
      </c>
    </row>
    <row r="351" spans="1:18" x14ac:dyDescent="0.25">
      <c r="A351" s="2">
        <v>341</v>
      </c>
      <c r="B351" s="3" t="s">
        <v>688</v>
      </c>
      <c r="C351" s="2" t="s">
        <v>689</v>
      </c>
      <c r="D351" s="2" t="s">
        <v>24</v>
      </c>
      <c r="E351" s="3" t="s">
        <v>1308</v>
      </c>
      <c r="I351" s="7" t="str">
        <f t="shared" si="13"/>
        <v>Pump7</v>
      </c>
      <c r="J351" s="7" t="str">
        <f t="shared" si="14"/>
        <v>FB_Temp_PhaseA</v>
      </c>
      <c r="O351" t="s">
        <v>1401</v>
      </c>
      <c r="Q351" t="s">
        <v>1426</v>
      </c>
      <c r="R351" t="s">
        <v>1426</v>
      </c>
    </row>
    <row r="352" spans="1:18" x14ac:dyDescent="0.25">
      <c r="A352" s="2">
        <v>342</v>
      </c>
      <c r="B352" s="3" t="s">
        <v>690</v>
      </c>
      <c r="C352" s="2" t="s">
        <v>691</v>
      </c>
      <c r="D352" s="2" t="s">
        <v>24</v>
      </c>
      <c r="E352" s="3" t="s">
        <v>1309</v>
      </c>
      <c r="I352" s="7" t="str">
        <f t="shared" si="13"/>
        <v>Pump7</v>
      </c>
      <c r="J352" s="7" t="str">
        <f t="shared" si="14"/>
        <v>FB_Temp_PhaseB</v>
      </c>
      <c r="O352" t="s">
        <v>1402</v>
      </c>
      <c r="Q352" t="s">
        <v>1427</v>
      </c>
      <c r="R352" t="s">
        <v>1427</v>
      </c>
    </row>
    <row r="353" spans="1:18" x14ac:dyDescent="0.25">
      <c r="A353" s="2">
        <v>343</v>
      </c>
      <c r="B353" s="3" t="s">
        <v>692</v>
      </c>
      <c r="C353" s="2" t="s">
        <v>693</v>
      </c>
      <c r="D353" s="2" t="s">
        <v>24</v>
      </c>
      <c r="E353" s="3" t="s">
        <v>1310</v>
      </c>
      <c r="I353" s="7" t="str">
        <f t="shared" si="13"/>
        <v>Pump7</v>
      </c>
      <c r="J353" s="7" t="str">
        <f t="shared" si="14"/>
        <v>FB_Temp_PhaseC</v>
      </c>
      <c r="O353" t="s">
        <v>1403</v>
      </c>
      <c r="Q353" t="s">
        <v>1428</v>
      </c>
      <c r="R353" t="s">
        <v>1428</v>
      </c>
    </row>
    <row r="354" spans="1:18" x14ac:dyDescent="0.25">
      <c r="A354" s="2">
        <v>344</v>
      </c>
      <c r="B354" s="3" t="s">
        <v>694</v>
      </c>
      <c r="C354" s="2" t="s">
        <v>695</v>
      </c>
      <c r="D354" s="2" t="s">
        <v>35</v>
      </c>
      <c r="E354" s="3" t="s">
        <v>1315</v>
      </c>
      <c r="I354" s="7" t="str">
        <f t="shared" si="13"/>
        <v>Meter7</v>
      </c>
      <c r="J354" s="7" t="str">
        <f t="shared" si="14"/>
        <v>U1</v>
      </c>
    </row>
    <row r="355" spans="1:18" x14ac:dyDescent="0.25">
      <c r="A355" s="2">
        <v>345</v>
      </c>
      <c r="B355" s="3" t="s">
        <v>696</v>
      </c>
      <c r="C355" s="2" t="s">
        <v>697</v>
      </c>
      <c r="D355" s="2" t="s">
        <v>35</v>
      </c>
      <c r="E355" s="3" t="s">
        <v>1316</v>
      </c>
      <c r="I355" s="7" t="str">
        <f t="shared" si="13"/>
        <v>Meter7</v>
      </c>
      <c r="J355" s="7" t="str">
        <f t="shared" si="14"/>
        <v>U2</v>
      </c>
    </row>
    <row r="356" spans="1:18" x14ac:dyDescent="0.25">
      <c r="A356" s="2">
        <v>346</v>
      </c>
      <c r="B356" s="3" t="s">
        <v>698</v>
      </c>
      <c r="C356" s="2" t="s">
        <v>699</v>
      </c>
      <c r="D356" s="2" t="s">
        <v>35</v>
      </c>
      <c r="E356" s="3" t="s">
        <v>1317</v>
      </c>
      <c r="I356" s="7" t="str">
        <f t="shared" si="13"/>
        <v>Meter7</v>
      </c>
      <c r="J356" s="7" t="str">
        <f t="shared" si="14"/>
        <v>U3</v>
      </c>
    </row>
    <row r="357" spans="1:18" x14ac:dyDescent="0.25">
      <c r="A357" s="2">
        <v>347</v>
      </c>
      <c r="B357" s="3" t="s">
        <v>700</v>
      </c>
      <c r="C357" s="2" t="s">
        <v>701</v>
      </c>
      <c r="D357" s="2" t="s">
        <v>35</v>
      </c>
      <c r="E357" s="3" t="s">
        <v>1318</v>
      </c>
      <c r="I357" s="7" t="str">
        <f t="shared" si="13"/>
        <v>Meter7</v>
      </c>
      <c r="J357" s="7" t="str">
        <f t="shared" si="14"/>
        <v>U_Ph</v>
      </c>
    </row>
    <row r="358" spans="1:18" x14ac:dyDescent="0.25">
      <c r="A358" s="2">
        <v>348</v>
      </c>
      <c r="B358" s="3" t="s">
        <v>702</v>
      </c>
      <c r="C358" s="2" t="s">
        <v>703</v>
      </c>
      <c r="D358" s="2" t="s">
        <v>35</v>
      </c>
      <c r="E358" s="3" t="s">
        <v>1319</v>
      </c>
      <c r="I358" s="7" t="str">
        <f t="shared" si="13"/>
        <v>Meter7</v>
      </c>
      <c r="J358" s="7" t="str">
        <f t="shared" si="14"/>
        <v>U12</v>
      </c>
      <c r="O358" t="s">
        <v>1319</v>
      </c>
      <c r="R358" t="s">
        <v>1319</v>
      </c>
    </row>
    <row r="359" spans="1:18" x14ac:dyDescent="0.25">
      <c r="A359" s="2">
        <v>349</v>
      </c>
      <c r="B359" s="3" t="s">
        <v>704</v>
      </c>
      <c r="C359" s="2" t="s">
        <v>705</v>
      </c>
      <c r="D359" s="2" t="s">
        <v>35</v>
      </c>
      <c r="E359" s="3" t="s">
        <v>1320</v>
      </c>
      <c r="I359" s="7" t="str">
        <f t="shared" si="13"/>
        <v>Meter7</v>
      </c>
      <c r="J359" s="7" t="str">
        <f t="shared" si="14"/>
        <v>U23</v>
      </c>
      <c r="O359" t="s">
        <v>1320</v>
      </c>
      <c r="R359" t="s">
        <v>1320</v>
      </c>
    </row>
    <row r="360" spans="1:18" x14ac:dyDescent="0.25">
      <c r="A360" s="2">
        <v>350</v>
      </c>
      <c r="B360" s="3" t="s">
        <v>706</v>
      </c>
      <c r="C360" s="2" t="s">
        <v>707</v>
      </c>
      <c r="D360" s="2" t="s">
        <v>35</v>
      </c>
      <c r="E360" s="3" t="s">
        <v>1321</v>
      </c>
      <c r="I360" s="7" t="str">
        <f t="shared" si="13"/>
        <v>Meter7</v>
      </c>
      <c r="J360" s="7" t="str">
        <f t="shared" si="14"/>
        <v>U31</v>
      </c>
      <c r="O360" t="s">
        <v>1321</v>
      </c>
      <c r="R360" t="s">
        <v>1321</v>
      </c>
    </row>
    <row r="361" spans="1:18" x14ac:dyDescent="0.25">
      <c r="A361" s="2">
        <v>351</v>
      </c>
      <c r="B361" s="3" t="s">
        <v>708</v>
      </c>
      <c r="C361" s="2" t="s">
        <v>709</v>
      </c>
      <c r="D361" s="2" t="s">
        <v>35</v>
      </c>
      <c r="E361" s="3" t="s">
        <v>1322</v>
      </c>
      <c r="I361" s="7" t="str">
        <f t="shared" si="13"/>
        <v>Meter7</v>
      </c>
      <c r="J361" s="7" t="str">
        <f t="shared" si="14"/>
        <v>Uline</v>
      </c>
    </row>
    <row r="362" spans="1:18" x14ac:dyDescent="0.25">
      <c r="A362" s="2">
        <v>352</v>
      </c>
      <c r="B362" s="3" t="s">
        <v>710</v>
      </c>
      <c r="C362" s="2" t="s">
        <v>711</v>
      </c>
      <c r="D362" s="2" t="s">
        <v>35</v>
      </c>
      <c r="E362" s="3" t="s">
        <v>1312</v>
      </c>
      <c r="I362" s="7" t="str">
        <f t="shared" si="13"/>
        <v>Meter7</v>
      </c>
      <c r="J362" s="7" t="str">
        <f t="shared" si="14"/>
        <v>I1</v>
      </c>
      <c r="Q362" s="3" t="s">
        <v>1429</v>
      </c>
      <c r="R362" s="3" t="s">
        <v>1429</v>
      </c>
    </row>
    <row r="363" spans="1:18" x14ac:dyDescent="0.25">
      <c r="A363" s="2">
        <v>353</v>
      </c>
      <c r="B363" s="3" t="s">
        <v>712</v>
      </c>
      <c r="C363" s="2" t="s">
        <v>713</v>
      </c>
      <c r="D363" s="2" t="s">
        <v>35</v>
      </c>
      <c r="E363" s="3" t="s">
        <v>1313</v>
      </c>
      <c r="I363" s="7" t="str">
        <f t="shared" si="13"/>
        <v>Meter7</v>
      </c>
      <c r="J363" s="7" t="str">
        <f t="shared" si="14"/>
        <v>I2</v>
      </c>
      <c r="Q363" s="3" t="s">
        <v>1430</v>
      </c>
      <c r="R363" s="3" t="s">
        <v>1430</v>
      </c>
    </row>
    <row r="364" spans="1:18" x14ac:dyDescent="0.25">
      <c r="A364" s="2">
        <v>354</v>
      </c>
      <c r="B364" s="3" t="s">
        <v>714</v>
      </c>
      <c r="C364" s="2" t="s">
        <v>715</v>
      </c>
      <c r="D364" s="2" t="s">
        <v>35</v>
      </c>
      <c r="E364" s="3" t="s">
        <v>1314</v>
      </c>
      <c r="I364" s="7" t="str">
        <f t="shared" si="13"/>
        <v>Meter7</v>
      </c>
      <c r="J364" s="7" t="str">
        <f t="shared" si="14"/>
        <v>I3</v>
      </c>
      <c r="Q364" s="3" t="s">
        <v>1431</v>
      </c>
      <c r="R364" s="3" t="s">
        <v>1431</v>
      </c>
    </row>
    <row r="365" spans="1:18" x14ac:dyDescent="0.25">
      <c r="A365" s="2">
        <v>355</v>
      </c>
      <c r="B365" s="3" t="s">
        <v>716</v>
      </c>
      <c r="C365" s="2" t="s">
        <v>717</v>
      </c>
      <c r="D365" s="2" t="s">
        <v>35</v>
      </c>
      <c r="E365" s="3" t="s">
        <v>1311</v>
      </c>
      <c r="I365" s="7" t="str">
        <f t="shared" si="13"/>
        <v>Meter7</v>
      </c>
      <c r="J365" s="7" t="str">
        <f t="shared" si="14"/>
        <v>I_ph</v>
      </c>
      <c r="N365" t="s">
        <v>1404</v>
      </c>
      <c r="O365" t="s">
        <v>1404</v>
      </c>
      <c r="R365" t="s">
        <v>1433</v>
      </c>
    </row>
    <row r="366" spans="1:18" x14ac:dyDescent="0.25">
      <c r="A366" s="2">
        <v>356</v>
      </c>
      <c r="B366" s="3" t="s">
        <v>718</v>
      </c>
      <c r="C366" s="2" t="s">
        <v>719</v>
      </c>
      <c r="D366" s="2" t="s">
        <v>35</v>
      </c>
      <c r="E366" s="3" t="s">
        <v>1323</v>
      </c>
      <c r="I366" s="7" t="str">
        <f t="shared" si="13"/>
        <v>Meter7</v>
      </c>
      <c r="J366" s="7" t="str">
        <f t="shared" si="14"/>
        <v>kw1</v>
      </c>
    </row>
    <row r="367" spans="1:18" x14ac:dyDescent="0.25">
      <c r="A367" s="2">
        <v>357</v>
      </c>
      <c r="B367" s="3" t="s">
        <v>720</v>
      </c>
      <c r="C367" s="2" t="s">
        <v>721</v>
      </c>
      <c r="D367" s="2" t="s">
        <v>35</v>
      </c>
      <c r="E367" s="3" t="s">
        <v>1324</v>
      </c>
      <c r="I367" s="7" t="str">
        <f t="shared" si="13"/>
        <v>Meter7</v>
      </c>
      <c r="J367" s="7" t="str">
        <f t="shared" si="14"/>
        <v>kw2</v>
      </c>
    </row>
    <row r="368" spans="1:18" x14ac:dyDescent="0.25">
      <c r="A368" s="2">
        <v>358</v>
      </c>
      <c r="B368" s="3" t="s">
        <v>722</v>
      </c>
      <c r="C368" s="2" t="s">
        <v>723</v>
      </c>
      <c r="D368" s="2" t="s">
        <v>35</v>
      </c>
      <c r="E368" s="3" t="s">
        <v>1325</v>
      </c>
      <c r="I368" s="7" t="str">
        <f t="shared" si="13"/>
        <v>Meter7</v>
      </c>
      <c r="J368" s="7" t="str">
        <f t="shared" si="14"/>
        <v>kw3</v>
      </c>
    </row>
    <row r="369" spans="1:18" x14ac:dyDescent="0.25">
      <c r="A369" s="2">
        <v>359</v>
      </c>
      <c r="B369" s="3" t="s">
        <v>724</v>
      </c>
      <c r="C369" s="2" t="s">
        <v>725</v>
      </c>
      <c r="D369" s="2" t="s">
        <v>35</v>
      </c>
      <c r="E369" s="3" t="s">
        <v>1326</v>
      </c>
      <c r="I369" s="7" t="str">
        <f t="shared" si="13"/>
        <v>Meter7</v>
      </c>
      <c r="J369" s="7" t="str">
        <f t="shared" si="14"/>
        <v>kva1</v>
      </c>
    </row>
    <row r="370" spans="1:18" x14ac:dyDescent="0.25">
      <c r="A370" s="2">
        <v>360</v>
      </c>
      <c r="B370" s="3" t="s">
        <v>726</v>
      </c>
      <c r="C370" s="2" t="s">
        <v>727</v>
      </c>
      <c r="D370" s="2" t="s">
        <v>35</v>
      </c>
      <c r="E370" s="3" t="s">
        <v>1327</v>
      </c>
      <c r="I370" s="7" t="str">
        <f t="shared" si="13"/>
        <v>Meter7</v>
      </c>
      <c r="J370" s="7" t="str">
        <f t="shared" si="14"/>
        <v>kva2</v>
      </c>
    </row>
    <row r="371" spans="1:18" x14ac:dyDescent="0.25">
      <c r="A371" s="2">
        <v>361</v>
      </c>
      <c r="B371" s="3" t="s">
        <v>728</v>
      </c>
      <c r="C371" s="2" t="s">
        <v>729</v>
      </c>
      <c r="D371" s="2" t="s">
        <v>35</v>
      </c>
      <c r="E371" s="3" t="s">
        <v>1328</v>
      </c>
      <c r="I371" s="7" t="str">
        <f t="shared" si="13"/>
        <v>Meter7</v>
      </c>
      <c r="J371" s="7" t="str">
        <f t="shared" si="14"/>
        <v>kva3</v>
      </c>
    </row>
    <row r="372" spans="1:18" x14ac:dyDescent="0.25">
      <c r="A372" s="2">
        <v>362</v>
      </c>
      <c r="B372" s="3" t="s">
        <v>730</v>
      </c>
      <c r="C372" s="2" t="s">
        <v>731</v>
      </c>
      <c r="D372" s="2" t="s">
        <v>35</v>
      </c>
      <c r="E372" s="3" t="s">
        <v>1329</v>
      </c>
      <c r="I372" s="7" t="str">
        <f t="shared" si="13"/>
        <v>Meter7</v>
      </c>
      <c r="J372" s="7" t="str">
        <f t="shared" si="14"/>
        <v>kvar1</v>
      </c>
    </row>
    <row r="373" spans="1:18" x14ac:dyDescent="0.25">
      <c r="A373" s="2">
        <v>363</v>
      </c>
      <c r="B373" s="3" t="s">
        <v>732</v>
      </c>
      <c r="C373" s="2" t="s">
        <v>733</v>
      </c>
      <c r="D373" s="2" t="s">
        <v>35</v>
      </c>
      <c r="E373" s="3" t="s">
        <v>1330</v>
      </c>
      <c r="I373" s="7" t="str">
        <f t="shared" si="13"/>
        <v>Meter7</v>
      </c>
      <c r="J373" s="7" t="str">
        <f t="shared" si="14"/>
        <v>kvar2</v>
      </c>
    </row>
    <row r="374" spans="1:18" x14ac:dyDescent="0.25">
      <c r="A374" s="2">
        <v>364</v>
      </c>
      <c r="B374" s="3" t="s">
        <v>734</v>
      </c>
      <c r="C374" s="2" t="s">
        <v>735</v>
      </c>
      <c r="D374" s="2" t="s">
        <v>35</v>
      </c>
      <c r="E374" s="3" t="s">
        <v>1331</v>
      </c>
      <c r="I374" s="7" t="str">
        <f t="shared" si="13"/>
        <v>Meter7</v>
      </c>
      <c r="J374" s="7" t="str">
        <f t="shared" si="14"/>
        <v>kvar3</v>
      </c>
    </row>
    <row r="375" spans="1:18" x14ac:dyDescent="0.25">
      <c r="A375" s="2">
        <v>365</v>
      </c>
      <c r="B375" s="3" t="s">
        <v>736</v>
      </c>
      <c r="C375" s="2" t="s">
        <v>737</v>
      </c>
      <c r="D375" s="2" t="s">
        <v>35</v>
      </c>
      <c r="E375" s="3" t="s">
        <v>1332</v>
      </c>
      <c r="I375" s="7" t="str">
        <f t="shared" si="13"/>
        <v>Meter7</v>
      </c>
      <c r="J375" s="7" t="str">
        <f t="shared" si="14"/>
        <v>total_kw</v>
      </c>
      <c r="O375" t="s">
        <v>1406</v>
      </c>
      <c r="R375" t="s">
        <v>1406</v>
      </c>
    </row>
    <row r="376" spans="1:18" x14ac:dyDescent="0.25">
      <c r="A376" s="2">
        <v>366</v>
      </c>
      <c r="B376" s="3" t="s">
        <v>738</v>
      </c>
      <c r="C376" s="2" t="s">
        <v>739</v>
      </c>
      <c r="D376" s="2" t="s">
        <v>35</v>
      </c>
      <c r="E376" s="3" t="s">
        <v>1333</v>
      </c>
      <c r="I376" s="7" t="str">
        <f t="shared" si="13"/>
        <v>Meter7</v>
      </c>
      <c r="J376" s="7" t="str">
        <f t="shared" si="14"/>
        <v>total_kva</v>
      </c>
    </row>
    <row r="377" spans="1:18" x14ac:dyDescent="0.25">
      <c r="A377" s="2">
        <v>367</v>
      </c>
      <c r="B377" s="3" t="s">
        <v>740</v>
      </c>
      <c r="C377" s="2" t="s">
        <v>741</v>
      </c>
      <c r="D377" s="2" t="s">
        <v>35</v>
      </c>
      <c r="E377" s="3" t="s">
        <v>1334</v>
      </c>
      <c r="I377" s="7" t="str">
        <f t="shared" si="13"/>
        <v>Meter7</v>
      </c>
      <c r="J377" s="7" t="str">
        <f t="shared" si="14"/>
        <v>total_kvar</v>
      </c>
    </row>
    <row r="378" spans="1:18" x14ac:dyDescent="0.25">
      <c r="A378" s="2">
        <v>368</v>
      </c>
      <c r="B378" s="3" t="s">
        <v>742</v>
      </c>
      <c r="C378" s="2" t="s">
        <v>743</v>
      </c>
      <c r="D378" s="2" t="s">
        <v>35</v>
      </c>
      <c r="E378" s="3" t="s">
        <v>1335</v>
      </c>
      <c r="I378" s="7" t="str">
        <f t="shared" si="13"/>
        <v>Meter7</v>
      </c>
      <c r="J378" s="7" t="str">
        <f t="shared" si="14"/>
        <v>PF1</v>
      </c>
    </row>
    <row r="379" spans="1:18" x14ac:dyDescent="0.25">
      <c r="A379" s="2">
        <v>369</v>
      </c>
      <c r="B379" s="3" t="s">
        <v>744</v>
      </c>
      <c r="C379" s="2" t="s">
        <v>745</v>
      </c>
      <c r="D379" s="2" t="s">
        <v>35</v>
      </c>
      <c r="E379" s="3" t="s">
        <v>1336</v>
      </c>
      <c r="I379" s="7" t="str">
        <f t="shared" si="13"/>
        <v>Meter7</v>
      </c>
      <c r="J379" s="7" t="str">
        <f t="shared" si="14"/>
        <v>PF2</v>
      </c>
    </row>
    <row r="380" spans="1:18" x14ac:dyDescent="0.25">
      <c r="A380" s="2">
        <v>370</v>
      </c>
      <c r="B380" s="3" t="s">
        <v>746</v>
      </c>
      <c r="C380" s="2" t="s">
        <v>747</v>
      </c>
      <c r="D380" s="2" t="s">
        <v>35</v>
      </c>
      <c r="E380" s="3" t="s">
        <v>1337</v>
      </c>
      <c r="I380" s="7" t="str">
        <f t="shared" si="13"/>
        <v>Meter7</v>
      </c>
      <c r="J380" s="7" t="str">
        <f t="shared" si="14"/>
        <v>PF3</v>
      </c>
    </row>
    <row r="381" spans="1:18" x14ac:dyDescent="0.25">
      <c r="A381" s="2">
        <v>371</v>
      </c>
      <c r="B381" s="3" t="s">
        <v>748</v>
      </c>
      <c r="C381" s="2" t="s">
        <v>749</v>
      </c>
      <c r="D381" s="2" t="s">
        <v>35</v>
      </c>
      <c r="E381" s="3" t="s">
        <v>1338</v>
      </c>
      <c r="I381" s="7" t="str">
        <f t="shared" si="13"/>
        <v>Meter7</v>
      </c>
      <c r="J381" s="7" t="str">
        <f t="shared" si="14"/>
        <v>PF</v>
      </c>
      <c r="O381" t="s">
        <v>1405</v>
      </c>
      <c r="R381" t="s">
        <v>1405</v>
      </c>
    </row>
    <row r="382" spans="1:18" x14ac:dyDescent="0.25">
      <c r="A382" s="2">
        <v>372</v>
      </c>
      <c r="B382" s="3" t="s">
        <v>750</v>
      </c>
      <c r="C382" s="2" t="s">
        <v>751</v>
      </c>
      <c r="D382" s="2" t="s">
        <v>35</v>
      </c>
      <c r="E382" s="3" t="s">
        <v>1339</v>
      </c>
      <c r="I382" s="7" t="str">
        <f t="shared" si="13"/>
        <v>Meter7</v>
      </c>
      <c r="J382" s="7" t="str">
        <f t="shared" si="14"/>
        <v>freq</v>
      </c>
      <c r="O382" t="s">
        <v>1339</v>
      </c>
      <c r="R382" t="s">
        <v>1339</v>
      </c>
    </row>
    <row r="383" spans="1:18" x14ac:dyDescent="0.25">
      <c r="A383" s="2">
        <v>373</v>
      </c>
      <c r="B383" s="3" t="s">
        <v>752</v>
      </c>
      <c r="C383" s="2" t="s">
        <v>753</v>
      </c>
      <c r="D383" s="2" t="s">
        <v>35</v>
      </c>
      <c r="E383" s="3" t="s">
        <v>1340</v>
      </c>
      <c r="I383" s="7" t="str">
        <f t="shared" si="13"/>
        <v>Meter7</v>
      </c>
      <c r="J383" s="7" t="str">
        <f t="shared" si="14"/>
        <v>kwh</v>
      </c>
      <c r="O383" t="s">
        <v>1340</v>
      </c>
      <c r="R383" t="s">
        <v>1340</v>
      </c>
    </row>
    <row r="384" spans="1:18" x14ac:dyDescent="0.25">
      <c r="A384" s="2">
        <v>374</v>
      </c>
      <c r="B384" s="3" t="s">
        <v>754</v>
      </c>
      <c r="C384" s="2" t="s">
        <v>755</v>
      </c>
      <c r="D384" s="2" t="s">
        <v>35</v>
      </c>
      <c r="E384" s="3" t="s">
        <v>1341</v>
      </c>
      <c r="I384" s="7" t="str">
        <f t="shared" si="13"/>
        <v>Meter7</v>
      </c>
      <c r="J384" s="7" t="str">
        <f t="shared" si="14"/>
        <v>kvah</v>
      </c>
    </row>
    <row r="385" spans="1:16" x14ac:dyDescent="0.25">
      <c r="A385" s="2">
        <v>375</v>
      </c>
      <c r="B385" s="3" t="s">
        <v>756</v>
      </c>
      <c r="C385" s="2" t="s">
        <v>757</v>
      </c>
      <c r="D385" s="2" t="s">
        <v>35</v>
      </c>
      <c r="E385" s="3" t="s">
        <v>1342</v>
      </c>
      <c r="I385" s="7" t="str">
        <f t="shared" si="13"/>
        <v>Meter7</v>
      </c>
      <c r="J385" s="7" t="str">
        <f t="shared" si="14"/>
        <v>kvarh</v>
      </c>
    </row>
    <row r="386" spans="1:16" x14ac:dyDescent="0.25">
      <c r="A386" s="2">
        <v>376</v>
      </c>
      <c r="B386" s="3" t="s">
        <v>758</v>
      </c>
      <c r="C386" s="2" t="s">
        <v>759</v>
      </c>
      <c r="D386" s="2" t="s">
        <v>7</v>
      </c>
      <c r="E386" s="3" t="s">
        <v>1343</v>
      </c>
      <c r="I386" s="7" t="str">
        <f t="shared" si="13"/>
        <v>Pump7</v>
      </c>
      <c r="J386" s="7" t="str">
        <f t="shared" si="14"/>
        <v>Ctrl_run_Pump</v>
      </c>
    </row>
    <row r="387" spans="1:16" x14ac:dyDescent="0.25">
      <c r="A387" s="2">
        <v>377</v>
      </c>
      <c r="B387" s="3" t="s">
        <v>760</v>
      </c>
      <c r="C387" s="2" t="s">
        <v>761</v>
      </c>
      <c r="D387" s="2" t="s">
        <v>7</v>
      </c>
      <c r="E387" s="3" t="s">
        <v>1354</v>
      </c>
      <c r="I387" s="7" t="str">
        <f t="shared" si="13"/>
        <v>Pump7</v>
      </c>
      <c r="J387" s="7" t="str">
        <f t="shared" si="14"/>
        <v>FB_Fault</v>
      </c>
      <c r="L387" s="11"/>
      <c r="P387" t="s">
        <v>1397</v>
      </c>
    </row>
    <row r="388" spans="1:16" x14ac:dyDescent="0.25">
      <c r="A388" s="2">
        <v>378</v>
      </c>
      <c r="B388" s="3" t="s">
        <v>762</v>
      </c>
      <c r="C388" s="2" t="s">
        <v>763</v>
      </c>
      <c r="D388" s="2" t="s">
        <v>7</v>
      </c>
      <c r="E388" s="3" t="s">
        <v>1344</v>
      </c>
      <c r="I388" s="7" t="str">
        <f t="shared" si="13"/>
        <v>Pump7</v>
      </c>
      <c r="J388" s="7" t="str">
        <f t="shared" si="14"/>
        <v>Ctrl_PB_Run</v>
      </c>
    </row>
    <row r="389" spans="1:16" x14ac:dyDescent="0.25">
      <c r="A389" s="2">
        <v>379</v>
      </c>
      <c r="B389" s="3" t="s">
        <v>764</v>
      </c>
      <c r="C389" s="2" t="s">
        <v>765</v>
      </c>
      <c r="D389" s="2" t="s">
        <v>7</v>
      </c>
      <c r="E389" s="3" t="s">
        <v>1345</v>
      </c>
      <c r="I389" s="7" t="str">
        <f t="shared" si="13"/>
        <v>Pump7</v>
      </c>
      <c r="J389" s="7" t="str">
        <f t="shared" si="14"/>
        <v>Ctrl_PB_Stop</v>
      </c>
    </row>
    <row r="390" spans="1:16" x14ac:dyDescent="0.25">
      <c r="A390" s="2">
        <v>380</v>
      </c>
      <c r="B390" s="3" t="s">
        <v>766</v>
      </c>
      <c r="C390" s="2" t="s">
        <v>767</v>
      </c>
      <c r="D390" s="2" t="s">
        <v>7</v>
      </c>
      <c r="E390" s="3" t="s">
        <v>1346</v>
      </c>
      <c r="I390" s="7" t="str">
        <f t="shared" si="13"/>
        <v>Pump7</v>
      </c>
      <c r="J390" s="7" t="str">
        <f t="shared" si="14"/>
        <v>Ctrl_PB_RST</v>
      </c>
    </row>
    <row r="391" spans="1:16" x14ac:dyDescent="0.25">
      <c r="A391" s="2">
        <v>381</v>
      </c>
      <c r="B391" s="3" t="s">
        <v>768</v>
      </c>
      <c r="C391" s="2" t="s">
        <v>769</v>
      </c>
      <c r="D391" s="2" t="s">
        <v>24</v>
      </c>
      <c r="E391" s="3" t="s">
        <v>1347</v>
      </c>
      <c r="I391" s="7" t="str">
        <f t="shared" si="13"/>
        <v>Pump7</v>
      </c>
      <c r="J391" s="7" t="str">
        <f t="shared" si="14"/>
        <v>Time_Run_M</v>
      </c>
      <c r="O391" s="20" t="s">
        <v>1417</v>
      </c>
    </row>
    <row r="392" spans="1:16" x14ac:dyDescent="0.25">
      <c r="A392" s="2">
        <v>382</v>
      </c>
      <c r="B392" s="3" t="s">
        <v>770</v>
      </c>
      <c r="C392" s="2" t="s">
        <v>771</v>
      </c>
      <c r="D392" s="2" t="s">
        <v>24</v>
      </c>
      <c r="E392" s="3" t="s">
        <v>1348</v>
      </c>
      <c r="I392" s="7" t="str">
        <f t="shared" si="13"/>
        <v>Pump7</v>
      </c>
      <c r="J392" s="7" t="str">
        <f t="shared" si="14"/>
        <v>Time_Run_H</v>
      </c>
      <c r="O392" s="20"/>
    </row>
    <row r="393" spans="1:16" x14ac:dyDescent="0.25">
      <c r="A393" s="2">
        <v>383</v>
      </c>
      <c r="B393" s="3" t="s">
        <v>772</v>
      </c>
      <c r="C393" s="2" t="s">
        <v>773</v>
      </c>
      <c r="D393" s="2" t="s">
        <v>24</v>
      </c>
      <c r="E393" s="3" t="s">
        <v>1349</v>
      </c>
      <c r="I393" s="7" t="str">
        <f t="shared" si="13"/>
        <v>Pump7</v>
      </c>
      <c r="J393" s="7" t="str">
        <f t="shared" si="14"/>
        <v>Total_Time_Run_M</v>
      </c>
      <c r="O393" s="20" t="s">
        <v>1418</v>
      </c>
    </row>
    <row r="394" spans="1:16" x14ac:dyDescent="0.25">
      <c r="A394" s="2">
        <v>384</v>
      </c>
      <c r="B394" s="3" t="s">
        <v>774</v>
      </c>
      <c r="C394" s="2" t="s">
        <v>775</v>
      </c>
      <c r="D394" s="2" t="s">
        <v>24</v>
      </c>
      <c r="E394" s="3" t="s">
        <v>1350</v>
      </c>
      <c r="I394" s="7" t="str">
        <f t="shared" si="13"/>
        <v>Pump7</v>
      </c>
      <c r="J394" s="7" t="str">
        <f t="shared" si="14"/>
        <v>Total_Time_Run_H</v>
      </c>
      <c r="N394" t="s">
        <v>1407</v>
      </c>
      <c r="O394" s="20"/>
    </row>
    <row r="395" spans="1:16" x14ac:dyDescent="0.25">
      <c r="A395" s="2">
        <v>385</v>
      </c>
      <c r="B395" s="3" t="s">
        <v>776</v>
      </c>
      <c r="C395" s="2" t="s">
        <v>777</v>
      </c>
      <c r="D395" s="2" t="s">
        <v>24</v>
      </c>
      <c r="E395" s="3" t="s">
        <v>1351</v>
      </c>
      <c r="I395" s="7" t="str">
        <f t="shared" si="13"/>
        <v>Pump7</v>
      </c>
      <c r="J395" s="7" t="str">
        <f t="shared" si="14"/>
        <v>NumberOfclose</v>
      </c>
    </row>
    <row r="396" spans="1:16" x14ac:dyDescent="0.25">
      <c r="A396" s="2">
        <v>386</v>
      </c>
      <c r="B396" s="3" t="s">
        <v>778</v>
      </c>
      <c r="C396" s="2" t="s">
        <v>779</v>
      </c>
      <c r="D396" s="2" t="s">
        <v>7</v>
      </c>
      <c r="E396" s="3" t="s">
        <v>1355</v>
      </c>
      <c r="I396" s="7" t="str">
        <f t="shared" ref="I396:I461" si="15">LEFT(B396, SEARCH("_",B396 ) - 1)</f>
        <v>Pump8</v>
      </c>
      <c r="J396" s="7" t="str">
        <f t="shared" si="14"/>
        <v>FB_auto</v>
      </c>
    </row>
    <row r="397" spans="1:16" x14ac:dyDescent="0.25">
      <c r="A397" s="2">
        <v>387</v>
      </c>
      <c r="B397" s="3" t="s">
        <v>780</v>
      </c>
      <c r="C397" s="2" t="s">
        <v>781</v>
      </c>
      <c r="D397" s="2" t="s">
        <v>7</v>
      </c>
      <c r="E397" s="3" t="s">
        <v>1306</v>
      </c>
      <c r="I397" s="7" t="str">
        <f t="shared" si="15"/>
        <v>Pump8</v>
      </c>
      <c r="J397" s="7" t="str">
        <f t="shared" si="14"/>
        <v>FB_Run</v>
      </c>
      <c r="L397" s="9"/>
      <c r="M397" t="s">
        <v>1397</v>
      </c>
      <c r="N397" t="s">
        <v>1397</v>
      </c>
      <c r="O397" t="s">
        <v>1397</v>
      </c>
    </row>
    <row r="398" spans="1:16" x14ac:dyDescent="0.25">
      <c r="A398" s="2">
        <v>388</v>
      </c>
      <c r="B398" s="3" t="s">
        <v>782</v>
      </c>
      <c r="C398" s="2" t="s">
        <v>783</v>
      </c>
      <c r="D398" s="2" t="s">
        <v>7</v>
      </c>
      <c r="E398" s="3" t="s">
        <v>1307</v>
      </c>
      <c r="I398" s="7" t="str">
        <f t="shared" si="15"/>
        <v>Pump8</v>
      </c>
      <c r="J398" s="7" t="str">
        <f t="shared" si="14"/>
        <v>FB_Fault_V</v>
      </c>
      <c r="P398" t="s">
        <v>1397</v>
      </c>
    </row>
    <row r="399" spans="1:16" x14ac:dyDescent="0.25">
      <c r="A399" s="2">
        <v>389</v>
      </c>
      <c r="B399" s="3" t="s">
        <v>784</v>
      </c>
      <c r="C399" s="2" t="s">
        <v>785</v>
      </c>
      <c r="D399" s="2" t="s">
        <v>7</v>
      </c>
      <c r="E399" s="3" t="s">
        <v>1307</v>
      </c>
      <c r="I399" s="7" t="str">
        <f t="shared" si="15"/>
        <v>Pump8</v>
      </c>
      <c r="J399" s="7" t="str">
        <f t="shared" si="14"/>
        <v>FB_Fault_SS</v>
      </c>
      <c r="M399" t="s">
        <v>1397</v>
      </c>
      <c r="P399" t="s">
        <v>1397</v>
      </c>
    </row>
    <row r="400" spans="1:16" x14ac:dyDescent="0.25">
      <c r="A400" s="2">
        <v>390</v>
      </c>
      <c r="B400" s="3" t="s">
        <v>786</v>
      </c>
      <c r="C400" s="2" t="s">
        <v>787</v>
      </c>
      <c r="D400" s="2" t="s">
        <v>7</v>
      </c>
      <c r="E400" s="3" t="s">
        <v>1356</v>
      </c>
      <c r="I400" s="7" t="str">
        <f t="shared" si="15"/>
        <v>Pump8</v>
      </c>
      <c r="J400" s="7" t="str">
        <f t="shared" si="14"/>
        <v>FB_Fault_Temp</v>
      </c>
      <c r="P400" t="s">
        <v>1397</v>
      </c>
    </row>
    <row r="401" spans="1:18" x14ac:dyDescent="0.25">
      <c r="A401" s="2">
        <v>391</v>
      </c>
      <c r="B401" s="3" t="s">
        <v>788</v>
      </c>
      <c r="C401" s="2" t="s">
        <v>789</v>
      </c>
      <c r="D401" s="2" t="s">
        <v>7</v>
      </c>
      <c r="E401" s="3" t="s">
        <v>1307</v>
      </c>
      <c r="I401" s="7" t="str">
        <f t="shared" si="15"/>
        <v>Pump8</v>
      </c>
      <c r="J401" s="7" t="str">
        <f t="shared" ref="J401:J466" si="16">RIGHT(B401, LEN(B401)-SEARCH("_",B401 ))</f>
        <v>FB_Fault_Curent</v>
      </c>
      <c r="P401" t="s">
        <v>1397</v>
      </c>
    </row>
    <row r="402" spans="1:18" x14ac:dyDescent="0.25">
      <c r="A402" s="2">
        <v>392</v>
      </c>
      <c r="B402" s="3" t="s">
        <v>790</v>
      </c>
      <c r="C402" s="2" t="s">
        <v>791</v>
      </c>
      <c r="D402" s="2" t="s">
        <v>7</v>
      </c>
      <c r="E402" s="3" t="s">
        <v>1357</v>
      </c>
      <c r="I402" s="7" t="str">
        <f t="shared" si="15"/>
        <v>Pump8</v>
      </c>
      <c r="J402" s="7" t="str">
        <f t="shared" si="16"/>
        <v>Clock_1m</v>
      </c>
    </row>
    <row r="403" spans="1:18" x14ac:dyDescent="0.25">
      <c r="A403" s="2">
        <v>393</v>
      </c>
      <c r="B403" s="3" t="s">
        <v>792</v>
      </c>
      <c r="C403" s="2" t="s">
        <v>793</v>
      </c>
      <c r="D403" s="2" t="s">
        <v>7</v>
      </c>
      <c r="E403" s="3" t="s">
        <v>1358</v>
      </c>
      <c r="I403" s="7" t="str">
        <f t="shared" si="15"/>
        <v>Pump8</v>
      </c>
      <c r="J403" s="7" t="str">
        <f t="shared" si="16"/>
        <v>FB_stop</v>
      </c>
      <c r="L403" s="10"/>
      <c r="M403" t="s">
        <v>1397</v>
      </c>
      <c r="N403" t="s">
        <v>1397</v>
      </c>
      <c r="O403" t="s">
        <v>1397</v>
      </c>
    </row>
    <row r="404" spans="1:18" x14ac:dyDescent="0.25">
      <c r="A404" s="2">
        <v>8</v>
      </c>
      <c r="B404" s="12" t="s">
        <v>1440</v>
      </c>
      <c r="C404" s="2" t="s">
        <v>21</v>
      </c>
      <c r="D404" s="2" t="s">
        <v>7</v>
      </c>
      <c r="E404" s="3" t="s">
        <v>1393</v>
      </c>
      <c r="I404" s="7" t="str">
        <f t="shared" si="15"/>
        <v>Pump8</v>
      </c>
      <c r="J404" s="7" t="str">
        <f t="shared" si="16"/>
        <v>FB_maintenance</v>
      </c>
      <c r="L404" s="13"/>
      <c r="M404" t="s">
        <v>1397</v>
      </c>
      <c r="N404" t="s">
        <v>1397</v>
      </c>
      <c r="O404" t="s">
        <v>1397</v>
      </c>
    </row>
    <row r="405" spans="1:18" x14ac:dyDescent="0.25">
      <c r="A405" s="2">
        <v>394</v>
      </c>
      <c r="B405" s="3" t="s">
        <v>794</v>
      </c>
      <c r="C405" s="2" t="s">
        <v>795</v>
      </c>
      <c r="D405" s="2" t="s">
        <v>24</v>
      </c>
      <c r="E405" s="3" t="s">
        <v>1352</v>
      </c>
      <c r="I405" s="7" t="str">
        <f t="shared" si="15"/>
        <v>Pump8</v>
      </c>
      <c r="J405" s="7" t="str">
        <f t="shared" si="16"/>
        <v>FB_Temp_DEBearing</v>
      </c>
      <c r="O405" t="s">
        <v>1399</v>
      </c>
      <c r="Q405" t="s">
        <v>1424</v>
      </c>
      <c r="R405" t="s">
        <v>1424</v>
      </c>
    </row>
    <row r="406" spans="1:18" x14ac:dyDescent="0.25">
      <c r="A406" s="2">
        <v>395</v>
      </c>
      <c r="B406" s="3" t="s">
        <v>796</v>
      </c>
      <c r="C406" s="2" t="s">
        <v>797</v>
      </c>
      <c r="D406" s="2" t="s">
        <v>24</v>
      </c>
      <c r="E406" s="3" t="s">
        <v>1353</v>
      </c>
      <c r="I406" s="7" t="str">
        <f t="shared" si="15"/>
        <v>Pump8</v>
      </c>
      <c r="J406" s="7" t="str">
        <f t="shared" si="16"/>
        <v>FB_Temp_NDEBearing</v>
      </c>
      <c r="O406" t="s">
        <v>1400</v>
      </c>
      <c r="Q406" t="s">
        <v>1425</v>
      </c>
      <c r="R406" t="s">
        <v>1425</v>
      </c>
    </row>
    <row r="407" spans="1:18" x14ac:dyDescent="0.25">
      <c r="A407" s="2">
        <v>396</v>
      </c>
      <c r="B407" s="3" t="s">
        <v>798</v>
      </c>
      <c r="C407" s="2" t="s">
        <v>799</v>
      </c>
      <c r="D407" s="2" t="s">
        <v>24</v>
      </c>
      <c r="E407" s="3" t="s">
        <v>1308</v>
      </c>
      <c r="I407" s="7" t="str">
        <f t="shared" si="15"/>
        <v>Pump8</v>
      </c>
      <c r="J407" s="7" t="str">
        <f t="shared" si="16"/>
        <v>FB_Temp_PhaseA</v>
      </c>
      <c r="O407" t="s">
        <v>1401</v>
      </c>
      <c r="Q407" t="s">
        <v>1426</v>
      </c>
      <c r="R407" t="s">
        <v>1426</v>
      </c>
    </row>
    <row r="408" spans="1:18" x14ac:dyDescent="0.25">
      <c r="A408" s="2">
        <v>397</v>
      </c>
      <c r="B408" s="3" t="s">
        <v>800</v>
      </c>
      <c r="C408" s="2" t="s">
        <v>801</v>
      </c>
      <c r="D408" s="2" t="s">
        <v>24</v>
      </c>
      <c r="E408" s="3" t="s">
        <v>1309</v>
      </c>
      <c r="I408" s="7" t="str">
        <f t="shared" si="15"/>
        <v>Pump8</v>
      </c>
      <c r="J408" s="7" t="str">
        <f t="shared" si="16"/>
        <v>FB_Temp_PhaseB</v>
      </c>
      <c r="O408" t="s">
        <v>1402</v>
      </c>
      <c r="Q408" t="s">
        <v>1427</v>
      </c>
      <c r="R408" t="s">
        <v>1427</v>
      </c>
    </row>
    <row r="409" spans="1:18" x14ac:dyDescent="0.25">
      <c r="A409" s="2">
        <v>398</v>
      </c>
      <c r="B409" s="3" t="s">
        <v>802</v>
      </c>
      <c r="C409" s="2" t="s">
        <v>803</v>
      </c>
      <c r="D409" s="2" t="s">
        <v>24</v>
      </c>
      <c r="E409" s="3" t="s">
        <v>1310</v>
      </c>
      <c r="I409" s="7" t="str">
        <f t="shared" si="15"/>
        <v>Pump8</v>
      </c>
      <c r="J409" s="7" t="str">
        <f t="shared" si="16"/>
        <v>FB_Temp_PhaseC</v>
      </c>
      <c r="O409" t="s">
        <v>1403</v>
      </c>
      <c r="Q409" t="s">
        <v>1428</v>
      </c>
      <c r="R409" t="s">
        <v>1428</v>
      </c>
    </row>
    <row r="410" spans="1:18" x14ac:dyDescent="0.25">
      <c r="A410" s="2">
        <v>399</v>
      </c>
      <c r="B410" s="3" t="s">
        <v>804</v>
      </c>
      <c r="C410" s="2" t="s">
        <v>805</v>
      </c>
      <c r="D410" s="2" t="s">
        <v>35</v>
      </c>
      <c r="E410" s="3" t="s">
        <v>1315</v>
      </c>
      <c r="I410" s="7" t="str">
        <f t="shared" si="15"/>
        <v>Meter8</v>
      </c>
      <c r="J410" s="7" t="str">
        <f t="shared" si="16"/>
        <v>U1</v>
      </c>
    </row>
    <row r="411" spans="1:18" x14ac:dyDescent="0.25">
      <c r="A411" s="2">
        <v>400</v>
      </c>
      <c r="B411" s="3" t="s">
        <v>806</v>
      </c>
      <c r="C411" s="2" t="s">
        <v>807</v>
      </c>
      <c r="D411" s="2" t="s">
        <v>35</v>
      </c>
      <c r="E411" s="3" t="s">
        <v>1316</v>
      </c>
      <c r="I411" s="7" t="str">
        <f t="shared" si="15"/>
        <v>Meter8</v>
      </c>
      <c r="J411" s="7" t="str">
        <f t="shared" si="16"/>
        <v>U2</v>
      </c>
    </row>
    <row r="412" spans="1:18" x14ac:dyDescent="0.25">
      <c r="A412" s="2">
        <v>401</v>
      </c>
      <c r="B412" s="3" t="s">
        <v>808</v>
      </c>
      <c r="C412" s="2" t="s">
        <v>809</v>
      </c>
      <c r="D412" s="2" t="s">
        <v>35</v>
      </c>
      <c r="E412" s="3" t="s">
        <v>1317</v>
      </c>
      <c r="I412" s="7" t="str">
        <f t="shared" si="15"/>
        <v>Meter8</v>
      </c>
      <c r="J412" s="7" t="str">
        <f t="shared" si="16"/>
        <v>U3</v>
      </c>
    </row>
    <row r="413" spans="1:18" x14ac:dyDescent="0.25">
      <c r="A413" s="2">
        <v>402</v>
      </c>
      <c r="B413" s="3" t="s">
        <v>810</v>
      </c>
      <c r="C413" s="2" t="s">
        <v>811</v>
      </c>
      <c r="D413" s="2" t="s">
        <v>35</v>
      </c>
      <c r="E413" s="3" t="s">
        <v>1318</v>
      </c>
      <c r="I413" s="7" t="str">
        <f t="shared" si="15"/>
        <v>Meter8</v>
      </c>
      <c r="J413" s="7" t="str">
        <f t="shared" si="16"/>
        <v>U_Ph</v>
      </c>
    </row>
    <row r="414" spans="1:18" x14ac:dyDescent="0.25">
      <c r="A414" s="2">
        <v>403</v>
      </c>
      <c r="B414" s="3" t="s">
        <v>812</v>
      </c>
      <c r="C414" s="2" t="s">
        <v>813</v>
      </c>
      <c r="D414" s="2" t="s">
        <v>35</v>
      </c>
      <c r="E414" s="3" t="s">
        <v>1319</v>
      </c>
      <c r="I414" s="7" t="str">
        <f t="shared" si="15"/>
        <v>Meter8</v>
      </c>
      <c r="J414" s="7" t="str">
        <f t="shared" si="16"/>
        <v>U12</v>
      </c>
      <c r="O414" t="s">
        <v>1319</v>
      </c>
      <c r="R414" t="s">
        <v>1319</v>
      </c>
    </row>
    <row r="415" spans="1:18" x14ac:dyDescent="0.25">
      <c r="A415" s="2">
        <v>404</v>
      </c>
      <c r="B415" s="3" t="s">
        <v>814</v>
      </c>
      <c r="C415" s="2" t="s">
        <v>815</v>
      </c>
      <c r="D415" s="2" t="s">
        <v>35</v>
      </c>
      <c r="E415" s="3" t="s">
        <v>1320</v>
      </c>
      <c r="I415" s="7" t="str">
        <f t="shared" si="15"/>
        <v>Meter8</v>
      </c>
      <c r="J415" s="7" t="str">
        <f t="shared" si="16"/>
        <v>U23</v>
      </c>
      <c r="O415" t="s">
        <v>1320</v>
      </c>
      <c r="R415" t="s">
        <v>1320</v>
      </c>
    </row>
    <row r="416" spans="1:18" x14ac:dyDescent="0.25">
      <c r="A416" s="2">
        <v>405</v>
      </c>
      <c r="B416" s="3" t="s">
        <v>816</v>
      </c>
      <c r="C416" s="2" t="s">
        <v>817</v>
      </c>
      <c r="D416" s="2" t="s">
        <v>35</v>
      </c>
      <c r="E416" s="3" t="s">
        <v>1321</v>
      </c>
      <c r="I416" s="7" t="str">
        <f t="shared" si="15"/>
        <v>Meter8</v>
      </c>
      <c r="J416" s="7" t="str">
        <f t="shared" si="16"/>
        <v>U31</v>
      </c>
      <c r="O416" t="s">
        <v>1321</v>
      </c>
      <c r="R416" t="s">
        <v>1321</v>
      </c>
    </row>
    <row r="417" spans="1:18" x14ac:dyDescent="0.25">
      <c r="A417" s="2">
        <v>406</v>
      </c>
      <c r="B417" s="3" t="s">
        <v>818</v>
      </c>
      <c r="C417" s="2" t="s">
        <v>819</v>
      </c>
      <c r="D417" s="2" t="s">
        <v>35</v>
      </c>
      <c r="E417" s="3" t="s">
        <v>1322</v>
      </c>
      <c r="I417" s="7" t="str">
        <f t="shared" si="15"/>
        <v>Meter8</v>
      </c>
      <c r="J417" s="7" t="str">
        <f t="shared" si="16"/>
        <v>Uline</v>
      </c>
    </row>
    <row r="418" spans="1:18" x14ac:dyDescent="0.25">
      <c r="A418" s="2">
        <v>407</v>
      </c>
      <c r="B418" s="3" t="s">
        <v>820</v>
      </c>
      <c r="C418" s="2" t="s">
        <v>821</v>
      </c>
      <c r="D418" s="2" t="s">
        <v>35</v>
      </c>
      <c r="E418" s="3" t="s">
        <v>1312</v>
      </c>
      <c r="I418" s="7" t="str">
        <f t="shared" si="15"/>
        <v>Meter8</v>
      </c>
      <c r="J418" s="7" t="str">
        <f t="shared" si="16"/>
        <v>I1</v>
      </c>
      <c r="Q418" s="3" t="s">
        <v>1429</v>
      </c>
      <c r="R418" s="3" t="s">
        <v>1429</v>
      </c>
    </row>
    <row r="419" spans="1:18" x14ac:dyDescent="0.25">
      <c r="A419" s="2">
        <v>408</v>
      </c>
      <c r="B419" s="3" t="s">
        <v>822</v>
      </c>
      <c r="C419" s="2" t="s">
        <v>823</v>
      </c>
      <c r="D419" s="2" t="s">
        <v>35</v>
      </c>
      <c r="E419" s="3" t="s">
        <v>1313</v>
      </c>
      <c r="I419" s="7" t="str">
        <f t="shared" si="15"/>
        <v>Meter8</v>
      </c>
      <c r="J419" s="7" t="str">
        <f t="shared" si="16"/>
        <v>I2</v>
      </c>
      <c r="Q419" s="3" t="s">
        <v>1430</v>
      </c>
      <c r="R419" s="3" t="s">
        <v>1430</v>
      </c>
    </row>
    <row r="420" spans="1:18" x14ac:dyDescent="0.25">
      <c r="A420" s="2">
        <v>409</v>
      </c>
      <c r="B420" s="3" t="s">
        <v>824</v>
      </c>
      <c r="C420" s="2" t="s">
        <v>825</v>
      </c>
      <c r="D420" s="2" t="s">
        <v>35</v>
      </c>
      <c r="E420" s="3" t="s">
        <v>1314</v>
      </c>
      <c r="I420" s="7" t="str">
        <f t="shared" si="15"/>
        <v>Meter8</v>
      </c>
      <c r="J420" s="7" t="str">
        <f t="shared" si="16"/>
        <v>I3</v>
      </c>
      <c r="Q420" s="3" t="s">
        <v>1431</v>
      </c>
      <c r="R420" s="3" t="s">
        <v>1431</v>
      </c>
    </row>
    <row r="421" spans="1:18" x14ac:dyDescent="0.25">
      <c r="A421" s="2">
        <v>410</v>
      </c>
      <c r="B421" s="3" t="s">
        <v>826</v>
      </c>
      <c r="C421" s="2" t="s">
        <v>827</v>
      </c>
      <c r="D421" s="2" t="s">
        <v>35</v>
      </c>
      <c r="E421" s="3" t="s">
        <v>1311</v>
      </c>
      <c r="I421" s="7" t="str">
        <f t="shared" si="15"/>
        <v>Meter8</v>
      </c>
      <c r="J421" s="7" t="str">
        <f t="shared" si="16"/>
        <v>I_ph</v>
      </c>
      <c r="N421" t="s">
        <v>1404</v>
      </c>
      <c r="O421" t="s">
        <v>1404</v>
      </c>
      <c r="R421" t="s">
        <v>1433</v>
      </c>
    </row>
    <row r="422" spans="1:18" x14ac:dyDescent="0.25">
      <c r="A422" s="2">
        <v>411</v>
      </c>
      <c r="B422" s="3" t="s">
        <v>828</v>
      </c>
      <c r="C422" s="2" t="s">
        <v>829</v>
      </c>
      <c r="D422" s="2" t="s">
        <v>35</v>
      </c>
      <c r="E422" s="3" t="s">
        <v>1323</v>
      </c>
      <c r="I422" s="7" t="str">
        <f t="shared" si="15"/>
        <v>Meter8</v>
      </c>
      <c r="J422" s="7" t="str">
        <f t="shared" si="16"/>
        <v>kw1</v>
      </c>
    </row>
    <row r="423" spans="1:18" x14ac:dyDescent="0.25">
      <c r="A423" s="2">
        <v>412</v>
      </c>
      <c r="B423" s="3" t="s">
        <v>830</v>
      </c>
      <c r="C423" s="2" t="s">
        <v>831</v>
      </c>
      <c r="D423" s="2" t="s">
        <v>35</v>
      </c>
      <c r="E423" s="3" t="s">
        <v>1324</v>
      </c>
      <c r="I423" s="7" t="str">
        <f t="shared" si="15"/>
        <v>Meter8</v>
      </c>
      <c r="J423" s="7" t="str">
        <f t="shared" si="16"/>
        <v>kw2</v>
      </c>
    </row>
    <row r="424" spans="1:18" x14ac:dyDescent="0.25">
      <c r="A424" s="2">
        <v>413</v>
      </c>
      <c r="B424" s="3" t="s">
        <v>832</v>
      </c>
      <c r="C424" s="2" t="s">
        <v>833</v>
      </c>
      <c r="D424" s="2" t="s">
        <v>35</v>
      </c>
      <c r="E424" s="3" t="s">
        <v>1325</v>
      </c>
      <c r="I424" s="7" t="str">
        <f t="shared" si="15"/>
        <v>Meter8</v>
      </c>
      <c r="J424" s="7" t="str">
        <f t="shared" si="16"/>
        <v>kw3</v>
      </c>
    </row>
    <row r="425" spans="1:18" x14ac:dyDescent="0.25">
      <c r="A425" s="2">
        <v>414</v>
      </c>
      <c r="B425" s="3" t="s">
        <v>834</v>
      </c>
      <c r="C425" s="2" t="s">
        <v>835</v>
      </c>
      <c r="D425" s="2" t="s">
        <v>35</v>
      </c>
      <c r="E425" s="3" t="s">
        <v>1326</v>
      </c>
      <c r="I425" s="7" t="str">
        <f t="shared" si="15"/>
        <v>Meter8</v>
      </c>
      <c r="J425" s="7" t="str">
        <f t="shared" si="16"/>
        <v>kva1</v>
      </c>
    </row>
    <row r="426" spans="1:18" x14ac:dyDescent="0.25">
      <c r="A426" s="2">
        <v>415</v>
      </c>
      <c r="B426" s="3" t="s">
        <v>836</v>
      </c>
      <c r="C426" s="2" t="s">
        <v>837</v>
      </c>
      <c r="D426" s="2" t="s">
        <v>35</v>
      </c>
      <c r="E426" s="3" t="s">
        <v>1327</v>
      </c>
      <c r="I426" s="7" t="str">
        <f t="shared" si="15"/>
        <v>Meter8</v>
      </c>
      <c r="J426" s="7" t="str">
        <f t="shared" si="16"/>
        <v>kva2</v>
      </c>
    </row>
    <row r="427" spans="1:18" x14ac:dyDescent="0.25">
      <c r="A427" s="2">
        <v>416</v>
      </c>
      <c r="B427" s="3" t="s">
        <v>838</v>
      </c>
      <c r="C427" s="2" t="s">
        <v>839</v>
      </c>
      <c r="D427" s="2" t="s">
        <v>35</v>
      </c>
      <c r="E427" s="3" t="s">
        <v>1328</v>
      </c>
      <c r="I427" s="7" t="str">
        <f t="shared" si="15"/>
        <v>Meter8</v>
      </c>
      <c r="J427" s="7" t="str">
        <f t="shared" si="16"/>
        <v>kva3</v>
      </c>
    </row>
    <row r="428" spans="1:18" x14ac:dyDescent="0.25">
      <c r="A428" s="2">
        <v>417</v>
      </c>
      <c r="B428" s="3" t="s">
        <v>840</v>
      </c>
      <c r="C428" s="2" t="s">
        <v>841</v>
      </c>
      <c r="D428" s="2" t="s">
        <v>35</v>
      </c>
      <c r="E428" s="3" t="s">
        <v>1329</v>
      </c>
      <c r="I428" s="7" t="str">
        <f t="shared" si="15"/>
        <v>Meter8</v>
      </c>
      <c r="J428" s="7" t="str">
        <f t="shared" si="16"/>
        <v>kvar1</v>
      </c>
    </row>
    <row r="429" spans="1:18" x14ac:dyDescent="0.25">
      <c r="A429" s="2">
        <v>418</v>
      </c>
      <c r="B429" s="3" t="s">
        <v>842</v>
      </c>
      <c r="C429" s="2" t="s">
        <v>843</v>
      </c>
      <c r="D429" s="2" t="s">
        <v>35</v>
      </c>
      <c r="E429" s="3" t="s">
        <v>1330</v>
      </c>
      <c r="I429" s="7" t="str">
        <f t="shared" si="15"/>
        <v>Meter8</v>
      </c>
      <c r="J429" s="7" t="str">
        <f t="shared" si="16"/>
        <v>kvar2</v>
      </c>
    </row>
    <row r="430" spans="1:18" x14ac:dyDescent="0.25">
      <c r="A430" s="2">
        <v>419</v>
      </c>
      <c r="B430" s="3" t="s">
        <v>844</v>
      </c>
      <c r="C430" s="2" t="s">
        <v>845</v>
      </c>
      <c r="D430" s="2" t="s">
        <v>35</v>
      </c>
      <c r="E430" s="3" t="s">
        <v>1331</v>
      </c>
      <c r="I430" s="7" t="str">
        <f t="shared" si="15"/>
        <v>Meter8</v>
      </c>
      <c r="J430" s="7" t="str">
        <f t="shared" si="16"/>
        <v>kvar3</v>
      </c>
    </row>
    <row r="431" spans="1:18" x14ac:dyDescent="0.25">
      <c r="A431" s="2">
        <v>420</v>
      </c>
      <c r="B431" s="3" t="s">
        <v>846</v>
      </c>
      <c r="C431" s="2" t="s">
        <v>847</v>
      </c>
      <c r="D431" s="2" t="s">
        <v>35</v>
      </c>
      <c r="E431" s="3" t="s">
        <v>1332</v>
      </c>
      <c r="I431" s="7" t="str">
        <f t="shared" si="15"/>
        <v>Meter8</v>
      </c>
      <c r="J431" s="7" t="str">
        <f t="shared" si="16"/>
        <v>total_kw</v>
      </c>
      <c r="O431" t="s">
        <v>1406</v>
      </c>
      <c r="R431" t="s">
        <v>1406</v>
      </c>
    </row>
    <row r="432" spans="1:18" x14ac:dyDescent="0.25">
      <c r="A432" s="2">
        <v>421</v>
      </c>
      <c r="B432" s="3" t="s">
        <v>848</v>
      </c>
      <c r="C432" s="2" t="s">
        <v>849</v>
      </c>
      <c r="D432" s="2" t="s">
        <v>35</v>
      </c>
      <c r="E432" s="3" t="s">
        <v>1333</v>
      </c>
      <c r="I432" s="7" t="str">
        <f t="shared" si="15"/>
        <v>Meter8</v>
      </c>
      <c r="J432" s="7" t="str">
        <f t="shared" si="16"/>
        <v>total_kva</v>
      </c>
    </row>
    <row r="433" spans="1:18" x14ac:dyDescent="0.25">
      <c r="A433" s="2">
        <v>422</v>
      </c>
      <c r="B433" s="3" t="s">
        <v>850</v>
      </c>
      <c r="C433" s="2" t="s">
        <v>851</v>
      </c>
      <c r="D433" s="2" t="s">
        <v>35</v>
      </c>
      <c r="E433" s="3" t="s">
        <v>1334</v>
      </c>
      <c r="I433" s="7" t="str">
        <f t="shared" si="15"/>
        <v>Meter8</v>
      </c>
      <c r="J433" s="7" t="str">
        <f t="shared" si="16"/>
        <v>total_kvar</v>
      </c>
    </row>
    <row r="434" spans="1:18" x14ac:dyDescent="0.25">
      <c r="A434" s="2">
        <v>423</v>
      </c>
      <c r="B434" s="3" t="s">
        <v>852</v>
      </c>
      <c r="C434" s="2" t="s">
        <v>853</v>
      </c>
      <c r="D434" s="2" t="s">
        <v>35</v>
      </c>
      <c r="E434" s="3" t="s">
        <v>1335</v>
      </c>
      <c r="I434" s="7" t="str">
        <f t="shared" si="15"/>
        <v>Meter8</v>
      </c>
      <c r="J434" s="7" t="str">
        <f t="shared" si="16"/>
        <v>PF1</v>
      </c>
    </row>
    <row r="435" spans="1:18" x14ac:dyDescent="0.25">
      <c r="A435" s="2">
        <v>424</v>
      </c>
      <c r="B435" s="3" t="s">
        <v>854</v>
      </c>
      <c r="C435" s="2" t="s">
        <v>855</v>
      </c>
      <c r="D435" s="2" t="s">
        <v>35</v>
      </c>
      <c r="E435" s="3" t="s">
        <v>1336</v>
      </c>
      <c r="I435" s="7" t="str">
        <f t="shared" si="15"/>
        <v>Meter8</v>
      </c>
      <c r="J435" s="7" t="str">
        <f t="shared" si="16"/>
        <v>PF2</v>
      </c>
    </row>
    <row r="436" spans="1:18" x14ac:dyDescent="0.25">
      <c r="A436" s="2">
        <v>425</v>
      </c>
      <c r="B436" s="3" t="s">
        <v>856</v>
      </c>
      <c r="C436" s="2" t="s">
        <v>857</v>
      </c>
      <c r="D436" s="2" t="s">
        <v>35</v>
      </c>
      <c r="E436" s="3" t="s">
        <v>1337</v>
      </c>
      <c r="I436" s="7" t="str">
        <f t="shared" si="15"/>
        <v>Meter8</v>
      </c>
      <c r="J436" s="7" t="str">
        <f t="shared" si="16"/>
        <v>PF3</v>
      </c>
    </row>
    <row r="437" spans="1:18" x14ac:dyDescent="0.25">
      <c r="A437" s="2">
        <v>426</v>
      </c>
      <c r="B437" s="3" t="s">
        <v>858</v>
      </c>
      <c r="C437" s="2" t="s">
        <v>859</v>
      </c>
      <c r="D437" s="2" t="s">
        <v>35</v>
      </c>
      <c r="E437" s="3" t="s">
        <v>1338</v>
      </c>
      <c r="I437" s="7" t="str">
        <f t="shared" si="15"/>
        <v>Meter8</v>
      </c>
      <c r="J437" s="7" t="str">
        <f t="shared" si="16"/>
        <v>PF</v>
      </c>
      <c r="O437" t="s">
        <v>1405</v>
      </c>
      <c r="R437" t="s">
        <v>1405</v>
      </c>
    </row>
    <row r="438" spans="1:18" x14ac:dyDescent="0.25">
      <c r="A438" s="2">
        <v>427</v>
      </c>
      <c r="B438" s="3" t="s">
        <v>860</v>
      </c>
      <c r="C438" s="2" t="s">
        <v>861</v>
      </c>
      <c r="D438" s="2" t="s">
        <v>35</v>
      </c>
      <c r="E438" s="3" t="s">
        <v>1339</v>
      </c>
      <c r="I438" s="7" t="str">
        <f t="shared" si="15"/>
        <v>Meter8</v>
      </c>
      <c r="J438" s="7" t="str">
        <f t="shared" si="16"/>
        <v>freq</v>
      </c>
      <c r="O438" t="s">
        <v>1339</v>
      </c>
      <c r="R438" t="s">
        <v>1339</v>
      </c>
    </row>
    <row r="439" spans="1:18" x14ac:dyDescent="0.25">
      <c r="A439" s="2">
        <v>428</v>
      </c>
      <c r="B439" s="3" t="s">
        <v>862</v>
      </c>
      <c r="C439" s="2" t="s">
        <v>863</v>
      </c>
      <c r="D439" s="2" t="s">
        <v>35</v>
      </c>
      <c r="E439" s="3" t="s">
        <v>1340</v>
      </c>
      <c r="I439" s="7" t="str">
        <f t="shared" si="15"/>
        <v>Meter8</v>
      </c>
      <c r="J439" s="7" t="str">
        <f t="shared" si="16"/>
        <v>kwh</v>
      </c>
      <c r="O439" t="s">
        <v>1340</v>
      </c>
      <c r="R439" t="s">
        <v>1340</v>
      </c>
    </row>
    <row r="440" spans="1:18" x14ac:dyDescent="0.25">
      <c r="A440" s="2">
        <v>429</v>
      </c>
      <c r="B440" s="3" t="s">
        <v>864</v>
      </c>
      <c r="C440" s="2" t="s">
        <v>865</v>
      </c>
      <c r="D440" s="2" t="s">
        <v>35</v>
      </c>
      <c r="E440" s="3" t="s">
        <v>1341</v>
      </c>
      <c r="I440" s="7" t="str">
        <f t="shared" si="15"/>
        <v>Meter8</v>
      </c>
      <c r="J440" s="7" t="str">
        <f t="shared" si="16"/>
        <v>kvah</v>
      </c>
    </row>
    <row r="441" spans="1:18" x14ac:dyDescent="0.25">
      <c r="A441" s="2">
        <v>430</v>
      </c>
      <c r="B441" s="3" t="s">
        <v>866</v>
      </c>
      <c r="C441" s="2" t="s">
        <v>867</v>
      </c>
      <c r="D441" s="2" t="s">
        <v>35</v>
      </c>
      <c r="E441" s="3" t="s">
        <v>1342</v>
      </c>
      <c r="I441" s="7" t="str">
        <f t="shared" si="15"/>
        <v>Meter8</v>
      </c>
      <c r="J441" s="7" t="str">
        <f t="shared" si="16"/>
        <v>kvarh</v>
      </c>
    </row>
    <row r="442" spans="1:18" x14ac:dyDescent="0.25">
      <c r="A442" s="2">
        <v>431</v>
      </c>
      <c r="B442" s="3" t="s">
        <v>868</v>
      </c>
      <c r="C442" s="2" t="s">
        <v>869</v>
      </c>
      <c r="D442" s="2" t="s">
        <v>7</v>
      </c>
      <c r="E442" s="3" t="s">
        <v>1343</v>
      </c>
      <c r="I442" s="7" t="str">
        <f t="shared" si="15"/>
        <v>Pump8</v>
      </c>
      <c r="J442" s="7" t="str">
        <f t="shared" si="16"/>
        <v>Ctrl_run_Pump</v>
      </c>
    </row>
    <row r="443" spans="1:18" x14ac:dyDescent="0.25">
      <c r="A443" s="2">
        <v>432</v>
      </c>
      <c r="B443" s="3" t="s">
        <v>870</v>
      </c>
      <c r="C443" s="2" t="s">
        <v>871</v>
      </c>
      <c r="D443" s="2" t="s">
        <v>7</v>
      </c>
      <c r="E443" s="3" t="s">
        <v>1354</v>
      </c>
      <c r="I443" s="7" t="str">
        <f t="shared" si="15"/>
        <v>Pump8</v>
      </c>
      <c r="J443" s="7" t="str">
        <f t="shared" si="16"/>
        <v>FB_Fault</v>
      </c>
      <c r="L443" s="11"/>
      <c r="P443" t="s">
        <v>1397</v>
      </c>
    </row>
    <row r="444" spans="1:18" x14ac:dyDescent="0.25">
      <c r="A444" s="2">
        <v>433</v>
      </c>
      <c r="B444" s="3" t="s">
        <v>872</v>
      </c>
      <c r="C444" s="2" t="s">
        <v>873</v>
      </c>
      <c r="D444" s="2" t="s">
        <v>7</v>
      </c>
      <c r="E444" s="3" t="s">
        <v>1344</v>
      </c>
      <c r="I444" s="7" t="str">
        <f t="shared" si="15"/>
        <v>Pump8</v>
      </c>
      <c r="J444" s="7" t="str">
        <f t="shared" si="16"/>
        <v>Ctrl_PB_Run</v>
      </c>
    </row>
    <row r="445" spans="1:18" x14ac:dyDescent="0.25">
      <c r="A445" s="2">
        <v>434</v>
      </c>
      <c r="B445" s="3" t="s">
        <v>874</v>
      </c>
      <c r="C445" s="2" t="s">
        <v>875</v>
      </c>
      <c r="D445" s="2" t="s">
        <v>7</v>
      </c>
      <c r="E445" s="3" t="s">
        <v>1345</v>
      </c>
      <c r="I445" s="7" t="str">
        <f t="shared" si="15"/>
        <v>Pump8</v>
      </c>
      <c r="J445" s="7" t="str">
        <f t="shared" si="16"/>
        <v>Ctrl_PB_Stop</v>
      </c>
    </row>
    <row r="446" spans="1:18" x14ac:dyDescent="0.25">
      <c r="A446" s="2">
        <v>435</v>
      </c>
      <c r="B446" s="3" t="s">
        <v>876</v>
      </c>
      <c r="C446" s="2" t="s">
        <v>877</v>
      </c>
      <c r="D446" s="2" t="s">
        <v>7</v>
      </c>
      <c r="E446" s="3" t="s">
        <v>1346</v>
      </c>
      <c r="I446" s="7" t="str">
        <f t="shared" si="15"/>
        <v>Pump8</v>
      </c>
      <c r="J446" s="7" t="str">
        <f t="shared" si="16"/>
        <v>Ctrl_PB_RST</v>
      </c>
    </row>
    <row r="447" spans="1:18" x14ac:dyDescent="0.25">
      <c r="A447" s="2">
        <v>436</v>
      </c>
      <c r="B447" s="3" t="s">
        <v>878</v>
      </c>
      <c r="C447" s="2" t="s">
        <v>879</v>
      </c>
      <c r="D447" s="2" t="s">
        <v>24</v>
      </c>
      <c r="E447" s="3" t="s">
        <v>1347</v>
      </c>
      <c r="I447" s="7" t="str">
        <f t="shared" si="15"/>
        <v>Pump8</v>
      </c>
      <c r="J447" s="7" t="str">
        <f t="shared" si="16"/>
        <v>Time_Run_M</v>
      </c>
      <c r="O447" s="20" t="s">
        <v>1417</v>
      </c>
    </row>
    <row r="448" spans="1:18" x14ac:dyDescent="0.25">
      <c r="A448" s="2">
        <v>437</v>
      </c>
      <c r="B448" s="3" t="s">
        <v>880</v>
      </c>
      <c r="C448" s="2" t="s">
        <v>881</v>
      </c>
      <c r="D448" s="2" t="s">
        <v>24</v>
      </c>
      <c r="E448" s="3" t="s">
        <v>1348</v>
      </c>
      <c r="I448" s="7" t="str">
        <f t="shared" si="15"/>
        <v>Pump8</v>
      </c>
      <c r="J448" s="7" t="str">
        <f t="shared" si="16"/>
        <v>Time_Run_H</v>
      </c>
      <c r="O448" s="20"/>
    </row>
    <row r="449" spans="1:18" x14ac:dyDescent="0.25">
      <c r="A449" s="2">
        <v>438</v>
      </c>
      <c r="B449" s="3" t="s">
        <v>882</v>
      </c>
      <c r="C449" s="2" t="s">
        <v>883</v>
      </c>
      <c r="D449" s="2" t="s">
        <v>24</v>
      </c>
      <c r="E449" s="3" t="s">
        <v>1349</v>
      </c>
      <c r="I449" s="7" t="str">
        <f t="shared" si="15"/>
        <v>Pump8</v>
      </c>
      <c r="J449" s="7" t="str">
        <f t="shared" si="16"/>
        <v>Total_Time_Run_M</v>
      </c>
      <c r="O449" s="20" t="s">
        <v>1418</v>
      </c>
    </row>
    <row r="450" spans="1:18" x14ac:dyDescent="0.25">
      <c r="A450" s="2">
        <v>439</v>
      </c>
      <c r="B450" s="3" t="s">
        <v>884</v>
      </c>
      <c r="C450" s="2" t="s">
        <v>885</v>
      </c>
      <c r="D450" s="2" t="s">
        <v>24</v>
      </c>
      <c r="E450" s="3" t="s">
        <v>1350</v>
      </c>
      <c r="I450" s="7" t="str">
        <f t="shared" si="15"/>
        <v>Pump8</v>
      </c>
      <c r="J450" s="7" t="str">
        <f t="shared" si="16"/>
        <v>Total_Time_Run_H</v>
      </c>
      <c r="N450" t="s">
        <v>1407</v>
      </c>
      <c r="O450" s="20"/>
    </row>
    <row r="451" spans="1:18" x14ac:dyDescent="0.25">
      <c r="A451" s="2">
        <v>440</v>
      </c>
      <c r="B451" s="3" t="s">
        <v>886</v>
      </c>
      <c r="C451" s="2" t="s">
        <v>887</v>
      </c>
      <c r="D451" s="2" t="s">
        <v>24</v>
      </c>
      <c r="E451" s="3" t="s">
        <v>1351</v>
      </c>
      <c r="I451" s="7" t="str">
        <f t="shared" si="15"/>
        <v>Pump8</v>
      </c>
      <c r="J451" s="7" t="str">
        <f t="shared" si="16"/>
        <v>NumberOfclose</v>
      </c>
    </row>
    <row r="452" spans="1:18" x14ac:dyDescent="0.25">
      <c r="A452" s="2">
        <v>441</v>
      </c>
      <c r="B452" s="3" t="s">
        <v>888</v>
      </c>
      <c r="C452" s="2" t="s">
        <v>889</v>
      </c>
      <c r="D452" s="2" t="s">
        <v>7</v>
      </c>
      <c r="E452" s="3" t="s">
        <v>1355</v>
      </c>
      <c r="I452" s="7" t="str">
        <f t="shared" si="15"/>
        <v>Pump9</v>
      </c>
      <c r="J452" s="7" t="str">
        <f t="shared" si="16"/>
        <v>FB_auto</v>
      </c>
    </row>
    <row r="453" spans="1:18" x14ac:dyDescent="0.25">
      <c r="A453" s="2">
        <v>442</v>
      </c>
      <c r="B453" s="3" t="s">
        <v>890</v>
      </c>
      <c r="C453" s="2" t="s">
        <v>891</v>
      </c>
      <c r="D453" s="2" t="s">
        <v>7</v>
      </c>
      <c r="E453" s="3" t="s">
        <v>1306</v>
      </c>
      <c r="I453" s="7" t="str">
        <f t="shared" si="15"/>
        <v>Pump9</v>
      </c>
      <c r="J453" s="7" t="str">
        <f t="shared" si="16"/>
        <v>FB_Run</v>
      </c>
      <c r="L453" s="9"/>
      <c r="M453" t="s">
        <v>1397</v>
      </c>
      <c r="N453" t="s">
        <v>1397</v>
      </c>
      <c r="O453" t="s">
        <v>1397</v>
      </c>
    </row>
    <row r="454" spans="1:18" x14ac:dyDescent="0.25">
      <c r="A454" s="2">
        <v>443</v>
      </c>
      <c r="B454" s="3" t="s">
        <v>892</v>
      </c>
      <c r="C454" s="2" t="s">
        <v>893</v>
      </c>
      <c r="D454" s="2" t="s">
        <v>7</v>
      </c>
      <c r="E454" s="3" t="s">
        <v>1307</v>
      </c>
      <c r="I454" s="7" t="str">
        <f t="shared" si="15"/>
        <v>Pump9</v>
      </c>
      <c r="J454" s="7" t="str">
        <f t="shared" si="16"/>
        <v>FB_Fault_V</v>
      </c>
      <c r="P454" t="s">
        <v>1397</v>
      </c>
    </row>
    <row r="455" spans="1:18" x14ac:dyDescent="0.25">
      <c r="A455" s="2">
        <v>444</v>
      </c>
      <c r="B455" s="3" t="s">
        <v>894</v>
      </c>
      <c r="C455" s="2" t="s">
        <v>895</v>
      </c>
      <c r="D455" s="2" t="s">
        <v>7</v>
      </c>
      <c r="E455" s="3" t="s">
        <v>1307</v>
      </c>
      <c r="I455" s="7" t="str">
        <f t="shared" si="15"/>
        <v>Pump9</v>
      </c>
      <c r="J455" s="7" t="str">
        <f t="shared" si="16"/>
        <v>FB_Fault_SS</v>
      </c>
      <c r="M455" t="s">
        <v>1397</v>
      </c>
      <c r="P455" t="s">
        <v>1397</v>
      </c>
    </row>
    <row r="456" spans="1:18" x14ac:dyDescent="0.25">
      <c r="A456" s="2">
        <v>445</v>
      </c>
      <c r="B456" s="3" t="s">
        <v>896</v>
      </c>
      <c r="C456" s="2" t="s">
        <v>897</v>
      </c>
      <c r="D456" s="2" t="s">
        <v>7</v>
      </c>
      <c r="E456" s="3" t="s">
        <v>1356</v>
      </c>
      <c r="I456" s="7" t="str">
        <f t="shared" si="15"/>
        <v>Pump9</v>
      </c>
      <c r="J456" s="7" t="str">
        <f t="shared" si="16"/>
        <v>FB_Fault_Temp</v>
      </c>
      <c r="P456" t="s">
        <v>1397</v>
      </c>
    </row>
    <row r="457" spans="1:18" x14ac:dyDescent="0.25">
      <c r="A457" s="2">
        <v>446</v>
      </c>
      <c r="B457" s="3" t="s">
        <v>898</v>
      </c>
      <c r="C457" s="2" t="s">
        <v>899</v>
      </c>
      <c r="D457" s="2" t="s">
        <v>7</v>
      </c>
      <c r="E457" s="3" t="s">
        <v>1307</v>
      </c>
      <c r="I457" s="7" t="str">
        <f t="shared" si="15"/>
        <v>Pump9</v>
      </c>
      <c r="J457" s="7" t="str">
        <f t="shared" si="16"/>
        <v>FB_Fault_Curent</v>
      </c>
      <c r="P457" t="s">
        <v>1397</v>
      </c>
    </row>
    <row r="458" spans="1:18" x14ac:dyDescent="0.25">
      <c r="A458" s="2">
        <v>447</v>
      </c>
      <c r="B458" s="3" t="s">
        <v>900</v>
      </c>
      <c r="C458" s="2" t="s">
        <v>901</v>
      </c>
      <c r="D458" s="2" t="s">
        <v>7</v>
      </c>
      <c r="E458" s="3" t="s">
        <v>1357</v>
      </c>
      <c r="I458" s="7" t="str">
        <f t="shared" si="15"/>
        <v>Pump9</v>
      </c>
      <c r="J458" s="7" t="str">
        <f t="shared" si="16"/>
        <v>Clock_1m</v>
      </c>
    </row>
    <row r="459" spans="1:18" x14ac:dyDescent="0.25">
      <c r="A459" s="2">
        <v>448</v>
      </c>
      <c r="B459" s="3" t="s">
        <v>902</v>
      </c>
      <c r="C459" s="2" t="s">
        <v>903</v>
      </c>
      <c r="D459" s="2" t="s">
        <v>7</v>
      </c>
      <c r="E459" s="3" t="s">
        <v>1358</v>
      </c>
      <c r="I459" s="7" t="str">
        <f t="shared" si="15"/>
        <v>Pump9</v>
      </c>
      <c r="J459" s="7" t="str">
        <f t="shared" si="16"/>
        <v>FB_stop</v>
      </c>
      <c r="L459" s="10"/>
      <c r="M459" t="s">
        <v>1397</v>
      </c>
      <c r="N459" t="s">
        <v>1397</v>
      </c>
      <c r="O459" t="s">
        <v>1397</v>
      </c>
    </row>
    <row r="460" spans="1:18" x14ac:dyDescent="0.25">
      <c r="A460" s="2">
        <v>8</v>
      </c>
      <c r="B460" s="12" t="s">
        <v>1441</v>
      </c>
      <c r="C460" s="2" t="s">
        <v>21</v>
      </c>
      <c r="D460" s="2" t="s">
        <v>7</v>
      </c>
      <c r="E460" s="3" t="s">
        <v>1393</v>
      </c>
      <c r="I460" s="7" t="str">
        <f t="shared" ref="I460" si="17">LEFT(B460, SEARCH("_",B460 ) - 1)</f>
        <v>Pump9</v>
      </c>
      <c r="J460" s="7" t="str">
        <f t="shared" ref="J460" si="18">RIGHT(B460, LEN(B460)-SEARCH("_",B460 ))</f>
        <v>FB_maintenance</v>
      </c>
      <c r="L460" s="13"/>
      <c r="M460" t="s">
        <v>1397</v>
      </c>
      <c r="N460" t="s">
        <v>1397</v>
      </c>
      <c r="O460" t="s">
        <v>1397</v>
      </c>
    </row>
    <row r="461" spans="1:18" x14ac:dyDescent="0.25">
      <c r="A461" s="2">
        <v>449</v>
      </c>
      <c r="B461" s="3" t="s">
        <v>904</v>
      </c>
      <c r="C461" s="2" t="s">
        <v>905</v>
      </c>
      <c r="D461" s="2" t="s">
        <v>24</v>
      </c>
      <c r="E461" s="3" t="s">
        <v>1352</v>
      </c>
      <c r="I461" s="7" t="str">
        <f t="shared" si="15"/>
        <v>Pump9</v>
      </c>
      <c r="J461" s="7" t="str">
        <f t="shared" si="16"/>
        <v>FB_Temp_DEBearing</v>
      </c>
      <c r="O461" t="s">
        <v>1399</v>
      </c>
      <c r="Q461" t="s">
        <v>1424</v>
      </c>
      <c r="R461" t="s">
        <v>1424</v>
      </c>
    </row>
    <row r="462" spans="1:18" x14ac:dyDescent="0.25">
      <c r="A462" s="2">
        <v>450</v>
      </c>
      <c r="B462" s="3" t="s">
        <v>906</v>
      </c>
      <c r="C462" s="2" t="s">
        <v>907</v>
      </c>
      <c r="D462" s="2" t="s">
        <v>24</v>
      </c>
      <c r="E462" s="3" t="s">
        <v>1353</v>
      </c>
      <c r="I462" s="7" t="str">
        <f t="shared" ref="I462:I526" si="19">LEFT(B462, SEARCH("_",B462 ) - 1)</f>
        <v>Pump9</v>
      </c>
      <c r="J462" s="7" t="str">
        <f t="shared" si="16"/>
        <v>FB_Temp_NDEBearing</v>
      </c>
      <c r="O462" t="s">
        <v>1400</v>
      </c>
      <c r="Q462" t="s">
        <v>1425</v>
      </c>
      <c r="R462" t="s">
        <v>1425</v>
      </c>
    </row>
    <row r="463" spans="1:18" x14ac:dyDescent="0.25">
      <c r="A463" s="2">
        <v>451</v>
      </c>
      <c r="B463" s="3" t="s">
        <v>908</v>
      </c>
      <c r="C463" s="2" t="s">
        <v>909</v>
      </c>
      <c r="D463" s="2" t="s">
        <v>24</v>
      </c>
      <c r="E463" s="3" t="s">
        <v>1308</v>
      </c>
      <c r="I463" s="7" t="str">
        <f t="shared" si="19"/>
        <v>Pump9</v>
      </c>
      <c r="J463" s="7" t="str">
        <f t="shared" si="16"/>
        <v>FB_Temp_PhaseA</v>
      </c>
      <c r="O463" t="s">
        <v>1401</v>
      </c>
      <c r="Q463" t="s">
        <v>1426</v>
      </c>
      <c r="R463" t="s">
        <v>1426</v>
      </c>
    </row>
    <row r="464" spans="1:18" x14ac:dyDescent="0.25">
      <c r="A464" s="2">
        <v>452</v>
      </c>
      <c r="B464" s="3" t="s">
        <v>910</v>
      </c>
      <c r="C464" s="2" t="s">
        <v>911</v>
      </c>
      <c r="D464" s="2" t="s">
        <v>24</v>
      </c>
      <c r="E464" s="3" t="s">
        <v>1309</v>
      </c>
      <c r="I464" s="7" t="str">
        <f t="shared" si="19"/>
        <v>Pump9</v>
      </c>
      <c r="J464" s="7" t="str">
        <f t="shared" si="16"/>
        <v>FB_Temp_PhaseB</v>
      </c>
      <c r="O464" t="s">
        <v>1402</v>
      </c>
      <c r="Q464" t="s">
        <v>1427</v>
      </c>
      <c r="R464" t="s">
        <v>1427</v>
      </c>
    </row>
    <row r="465" spans="1:18" x14ac:dyDescent="0.25">
      <c r="A465" s="2">
        <v>453</v>
      </c>
      <c r="B465" s="3" t="s">
        <v>912</v>
      </c>
      <c r="C465" s="2" t="s">
        <v>913</v>
      </c>
      <c r="D465" s="2" t="s">
        <v>24</v>
      </c>
      <c r="E465" s="3" t="s">
        <v>1310</v>
      </c>
      <c r="I465" s="7" t="str">
        <f t="shared" si="19"/>
        <v>Pump9</v>
      </c>
      <c r="J465" s="7" t="str">
        <f t="shared" si="16"/>
        <v>FB_Temp_PhaseC</v>
      </c>
      <c r="O465" t="s">
        <v>1403</v>
      </c>
      <c r="Q465" t="s">
        <v>1428</v>
      </c>
      <c r="R465" t="s">
        <v>1428</v>
      </c>
    </row>
    <row r="466" spans="1:18" x14ac:dyDescent="0.25">
      <c r="A466" s="2">
        <v>454</v>
      </c>
      <c r="B466" s="3" t="s">
        <v>914</v>
      </c>
      <c r="C466" s="2" t="s">
        <v>915</v>
      </c>
      <c r="D466" s="2" t="s">
        <v>35</v>
      </c>
      <c r="E466" s="3" t="s">
        <v>1315</v>
      </c>
      <c r="I466" s="7" t="str">
        <f t="shared" si="19"/>
        <v>Meter9</v>
      </c>
      <c r="J466" s="7" t="str">
        <f t="shared" si="16"/>
        <v>U1</v>
      </c>
    </row>
    <row r="467" spans="1:18" x14ac:dyDescent="0.25">
      <c r="A467" s="2">
        <v>455</v>
      </c>
      <c r="B467" s="3" t="s">
        <v>916</v>
      </c>
      <c r="C467" s="2" t="s">
        <v>917</v>
      </c>
      <c r="D467" s="2" t="s">
        <v>35</v>
      </c>
      <c r="E467" s="3" t="s">
        <v>1316</v>
      </c>
      <c r="I467" s="7" t="str">
        <f t="shared" si="19"/>
        <v>Meter9</v>
      </c>
      <c r="J467" s="7" t="str">
        <f t="shared" ref="J467:J531" si="20">RIGHT(B467, LEN(B467)-SEARCH("_",B467 ))</f>
        <v>U2</v>
      </c>
    </row>
    <row r="468" spans="1:18" x14ac:dyDescent="0.25">
      <c r="A468" s="2">
        <v>456</v>
      </c>
      <c r="B468" s="3" t="s">
        <v>918</v>
      </c>
      <c r="C468" s="2" t="s">
        <v>919</v>
      </c>
      <c r="D468" s="2" t="s">
        <v>35</v>
      </c>
      <c r="E468" s="3" t="s">
        <v>1317</v>
      </c>
      <c r="I468" s="7" t="str">
        <f t="shared" si="19"/>
        <v>Meter9</v>
      </c>
      <c r="J468" s="7" t="str">
        <f t="shared" si="20"/>
        <v>U3</v>
      </c>
    </row>
    <row r="469" spans="1:18" x14ac:dyDescent="0.25">
      <c r="A469" s="2">
        <v>457</v>
      </c>
      <c r="B469" s="3" t="s">
        <v>920</v>
      </c>
      <c r="C469" s="2" t="s">
        <v>921</v>
      </c>
      <c r="D469" s="2" t="s">
        <v>35</v>
      </c>
      <c r="E469" s="3" t="s">
        <v>1318</v>
      </c>
      <c r="I469" s="7" t="str">
        <f t="shared" si="19"/>
        <v>Meter9</v>
      </c>
      <c r="J469" s="7" t="str">
        <f t="shared" si="20"/>
        <v>U_Ph</v>
      </c>
    </row>
    <row r="470" spans="1:18" x14ac:dyDescent="0.25">
      <c r="A470" s="2">
        <v>458</v>
      </c>
      <c r="B470" s="3" t="s">
        <v>922</v>
      </c>
      <c r="C470" s="2" t="s">
        <v>923</v>
      </c>
      <c r="D470" s="2" t="s">
        <v>35</v>
      </c>
      <c r="E470" s="3" t="s">
        <v>1319</v>
      </c>
      <c r="I470" s="7" t="str">
        <f t="shared" si="19"/>
        <v>Meter9</v>
      </c>
      <c r="J470" s="7" t="str">
        <f t="shared" si="20"/>
        <v>U12</v>
      </c>
      <c r="O470" t="s">
        <v>1319</v>
      </c>
      <c r="R470" t="s">
        <v>1319</v>
      </c>
    </row>
    <row r="471" spans="1:18" x14ac:dyDescent="0.25">
      <c r="A471" s="2">
        <v>459</v>
      </c>
      <c r="B471" s="3" t="s">
        <v>924</v>
      </c>
      <c r="C471" s="2" t="s">
        <v>925</v>
      </c>
      <c r="D471" s="2" t="s">
        <v>35</v>
      </c>
      <c r="E471" s="3" t="s">
        <v>1320</v>
      </c>
      <c r="I471" s="7" t="str">
        <f t="shared" si="19"/>
        <v>Meter9</v>
      </c>
      <c r="J471" s="7" t="str">
        <f t="shared" si="20"/>
        <v>U23</v>
      </c>
      <c r="O471" t="s">
        <v>1320</v>
      </c>
      <c r="R471" t="s">
        <v>1320</v>
      </c>
    </row>
    <row r="472" spans="1:18" x14ac:dyDescent="0.25">
      <c r="A472" s="2">
        <v>460</v>
      </c>
      <c r="B472" s="3" t="s">
        <v>926</v>
      </c>
      <c r="C472" s="2" t="s">
        <v>927</v>
      </c>
      <c r="D472" s="2" t="s">
        <v>35</v>
      </c>
      <c r="E472" s="3" t="s">
        <v>1321</v>
      </c>
      <c r="I472" s="7" t="str">
        <f t="shared" si="19"/>
        <v>Meter9</v>
      </c>
      <c r="J472" s="7" t="str">
        <f t="shared" si="20"/>
        <v>U31</v>
      </c>
      <c r="O472" t="s">
        <v>1321</v>
      </c>
      <c r="R472" t="s">
        <v>1321</v>
      </c>
    </row>
    <row r="473" spans="1:18" x14ac:dyDescent="0.25">
      <c r="A473" s="2">
        <v>461</v>
      </c>
      <c r="B473" s="3" t="s">
        <v>928</v>
      </c>
      <c r="C473" s="2" t="s">
        <v>929</v>
      </c>
      <c r="D473" s="2" t="s">
        <v>35</v>
      </c>
      <c r="E473" s="3" t="s">
        <v>1322</v>
      </c>
      <c r="I473" s="7" t="str">
        <f t="shared" si="19"/>
        <v>Meter9</v>
      </c>
      <c r="J473" s="7" t="str">
        <f t="shared" si="20"/>
        <v>Uline</v>
      </c>
    </row>
    <row r="474" spans="1:18" x14ac:dyDescent="0.25">
      <c r="A474" s="2">
        <v>462</v>
      </c>
      <c r="B474" s="3" t="s">
        <v>930</v>
      </c>
      <c r="C474" s="2" t="s">
        <v>931</v>
      </c>
      <c r="D474" s="2" t="s">
        <v>35</v>
      </c>
      <c r="E474" s="3" t="s">
        <v>1312</v>
      </c>
      <c r="I474" s="7" t="str">
        <f t="shared" si="19"/>
        <v>Meter9</v>
      </c>
      <c r="J474" s="7" t="str">
        <f t="shared" si="20"/>
        <v>I1</v>
      </c>
      <c r="Q474" s="3" t="s">
        <v>1429</v>
      </c>
      <c r="R474" s="3" t="s">
        <v>1429</v>
      </c>
    </row>
    <row r="475" spans="1:18" x14ac:dyDescent="0.25">
      <c r="A475" s="2">
        <v>463</v>
      </c>
      <c r="B475" s="3" t="s">
        <v>932</v>
      </c>
      <c r="C475" s="2" t="s">
        <v>933</v>
      </c>
      <c r="D475" s="2" t="s">
        <v>35</v>
      </c>
      <c r="E475" s="3" t="s">
        <v>1313</v>
      </c>
      <c r="I475" s="7" t="str">
        <f t="shared" si="19"/>
        <v>Meter9</v>
      </c>
      <c r="J475" s="7" t="str">
        <f t="shared" si="20"/>
        <v>I2</v>
      </c>
      <c r="Q475" s="3" t="s">
        <v>1430</v>
      </c>
      <c r="R475" s="3" t="s">
        <v>1430</v>
      </c>
    </row>
    <row r="476" spans="1:18" x14ac:dyDescent="0.25">
      <c r="A476" s="2">
        <v>464</v>
      </c>
      <c r="B476" s="3" t="s">
        <v>934</v>
      </c>
      <c r="C476" s="2" t="s">
        <v>935</v>
      </c>
      <c r="D476" s="2" t="s">
        <v>35</v>
      </c>
      <c r="E476" s="3" t="s">
        <v>1314</v>
      </c>
      <c r="I476" s="7" t="str">
        <f t="shared" si="19"/>
        <v>Meter9</v>
      </c>
      <c r="J476" s="7" t="str">
        <f t="shared" si="20"/>
        <v>I3</v>
      </c>
      <c r="Q476" s="3" t="s">
        <v>1431</v>
      </c>
      <c r="R476" s="3" t="s">
        <v>1431</v>
      </c>
    </row>
    <row r="477" spans="1:18" x14ac:dyDescent="0.25">
      <c r="A477" s="2">
        <v>465</v>
      </c>
      <c r="B477" s="3" t="s">
        <v>936</v>
      </c>
      <c r="C477" s="2" t="s">
        <v>937</v>
      </c>
      <c r="D477" s="2" t="s">
        <v>35</v>
      </c>
      <c r="E477" s="3" t="s">
        <v>1311</v>
      </c>
      <c r="I477" s="7" t="str">
        <f t="shared" si="19"/>
        <v>Meter9</v>
      </c>
      <c r="J477" s="7" t="str">
        <f t="shared" si="20"/>
        <v>I_ph</v>
      </c>
      <c r="N477" t="s">
        <v>1404</v>
      </c>
      <c r="O477" t="s">
        <v>1404</v>
      </c>
      <c r="R477" t="s">
        <v>1433</v>
      </c>
    </row>
    <row r="478" spans="1:18" x14ac:dyDescent="0.25">
      <c r="A478" s="2">
        <v>466</v>
      </c>
      <c r="B478" s="3" t="s">
        <v>938</v>
      </c>
      <c r="C478" s="2" t="s">
        <v>939</v>
      </c>
      <c r="D478" s="2" t="s">
        <v>35</v>
      </c>
      <c r="E478" s="3" t="s">
        <v>1323</v>
      </c>
      <c r="I478" s="7" t="str">
        <f t="shared" si="19"/>
        <v>Meter9</v>
      </c>
      <c r="J478" s="7" t="str">
        <f t="shared" si="20"/>
        <v>kw1</v>
      </c>
    </row>
    <row r="479" spans="1:18" x14ac:dyDescent="0.25">
      <c r="A479" s="2">
        <v>467</v>
      </c>
      <c r="B479" s="3" t="s">
        <v>940</v>
      </c>
      <c r="C479" s="2" t="s">
        <v>941</v>
      </c>
      <c r="D479" s="2" t="s">
        <v>35</v>
      </c>
      <c r="E479" s="3" t="s">
        <v>1324</v>
      </c>
      <c r="I479" s="7" t="str">
        <f t="shared" si="19"/>
        <v>Meter9</v>
      </c>
      <c r="J479" s="7" t="str">
        <f t="shared" si="20"/>
        <v>kw2</v>
      </c>
    </row>
    <row r="480" spans="1:18" x14ac:dyDescent="0.25">
      <c r="A480" s="2">
        <v>468</v>
      </c>
      <c r="B480" s="3" t="s">
        <v>942</v>
      </c>
      <c r="C480" s="2" t="s">
        <v>943</v>
      </c>
      <c r="D480" s="2" t="s">
        <v>35</v>
      </c>
      <c r="E480" s="3" t="s">
        <v>1325</v>
      </c>
      <c r="I480" s="7" t="str">
        <f t="shared" si="19"/>
        <v>Meter9</v>
      </c>
      <c r="J480" s="7" t="str">
        <f t="shared" si="20"/>
        <v>kw3</v>
      </c>
    </row>
    <row r="481" spans="1:18" x14ac:dyDescent="0.25">
      <c r="A481" s="2">
        <v>469</v>
      </c>
      <c r="B481" s="3" t="s">
        <v>944</v>
      </c>
      <c r="C481" s="2" t="s">
        <v>945</v>
      </c>
      <c r="D481" s="2" t="s">
        <v>35</v>
      </c>
      <c r="E481" s="3" t="s">
        <v>1326</v>
      </c>
      <c r="I481" s="7" t="str">
        <f t="shared" si="19"/>
        <v>Meter9</v>
      </c>
      <c r="J481" s="7" t="str">
        <f t="shared" si="20"/>
        <v>kva1</v>
      </c>
    </row>
    <row r="482" spans="1:18" x14ac:dyDescent="0.25">
      <c r="A482" s="2">
        <v>470</v>
      </c>
      <c r="B482" s="3" t="s">
        <v>946</v>
      </c>
      <c r="C482" s="2" t="s">
        <v>947</v>
      </c>
      <c r="D482" s="2" t="s">
        <v>35</v>
      </c>
      <c r="E482" s="3" t="s">
        <v>1327</v>
      </c>
      <c r="I482" s="7" t="str">
        <f t="shared" si="19"/>
        <v>Meter9</v>
      </c>
      <c r="J482" s="7" t="str">
        <f t="shared" si="20"/>
        <v>kva2</v>
      </c>
    </row>
    <row r="483" spans="1:18" x14ac:dyDescent="0.25">
      <c r="A483" s="2">
        <v>471</v>
      </c>
      <c r="B483" s="3" t="s">
        <v>948</v>
      </c>
      <c r="C483" s="2" t="s">
        <v>949</v>
      </c>
      <c r="D483" s="2" t="s">
        <v>35</v>
      </c>
      <c r="E483" s="3" t="s">
        <v>1328</v>
      </c>
      <c r="I483" s="7" t="str">
        <f t="shared" si="19"/>
        <v>Meter9</v>
      </c>
      <c r="J483" s="7" t="str">
        <f t="shared" si="20"/>
        <v>kva3</v>
      </c>
    </row>
    <row r="484" spans="1:18" x14ac:dyDescent="0.25">
      <c r="A484" s="2">
        <v>472</v>
      </c>
      <c r="B484" s="3" t="s">
        <v>950</v>
      </c>
      <c r="C484" s="2" t="s">
        <v>951</v>
      </c>
      <c r="D484" s="2" t="s">
        <v>35</v>
      </c>
      <c r="E484" s="3" t="s">
        <v>1329</v>
      </c>
      <c r="I484" s="7" t="str">
        <f t="shared" si="19"/>
        <v>Meter9</v>
      </c>
      <c r="J484" s="7" t="str">
        <f t="shared" si="20"/>
        <v>kvar1</v>
      </c>
    </row>
    <row r="485" spans="1:18" x14ac:dyDescent="0.25">
      <c r="A485" s="2">
        <v>473</v>
      </c>
      <c r="B485" s="3" t="s">
        <v>952</v>
      </c>
      <c r="C485" s="2" t="s">
        <v>953</v>
      </c>
      <c r="D485" s="2" t="s">
        <v>35</v>
      </c>
      <c r="E485" s="3" t="s">
        <v>1330</v>
      </c>
      <c r="I485" s="7" t="str">
        <f t="shared" si="19"/>
        <v>Meter9</v>
      </c>
      <c r="J485" s="7" t="str">
        <f t="shared" si="20"/>
        <v>kvar2</v>
      </c>
    </row>
    <row r="486" spans="1:18" x14ac:dyDescent="0.25">
      <c r="A486" s="2">
        <v>474</v>
      </c>
      <c r="B486" s="3" t="s">
        <v>954</v>
      </c>
      <c r="C486" s="2" t="s">
        <v>955</v>
      </c>
      <c r="D486" s="2" t="s">
        <v>35</v>
      </c>
      <c r="E486" s="3" t="s">
        <v>1331</v>
      </c>
      <c r="I486" s="7" t="str">
        <f t="shared" si="19"/>
        <v>Meter9</v>
      </c>
      <c r="J486" s="7" t="str">
        <f t="shared" si="20"/>
        <v>kvar3</v>
      </c>
    </row>
    <row r="487" spans="1:18" x14ac:dyDescent="0.25">
      <c r="A487" s="2">
        <v>475</v>
      </c>
      <c r="B487" s="3" t="s">
        <v>956</v>
      </c>
      <c r="C487" s="2" t="s">
        <v>957</v>
      </c>
      <c r="D487" s="2" t="s">
        <v>35</v>
      </c>
      <c r="E487" s="3" t="s">
        <v>1332</v>
      </c>
      <c r="I487" s="7" t="str">
        <f t="shared" si="19"/>
        <v>Meter9</v>
      </c>
      <c r="J487" s="7" t="str">
        <f t="shared" si="20"/>
        <v>total_kw</v>
      </c>
      <c r="O487" t="s">
        <v>1406</v>
      </c>
      <c r="R487" t="s">
        <v>1406</v>
      </c>
    </row>
    <row r="488" spans="1:18" x14ac:dyDescent="0.25">
      <c r="A488" s="2">
        <v>476</v>
      </c>
      <c r="B488" s="3" t="s">
        <v>958</v>
      </c>
      <c r="C488" s="2" t="s">
        <v>959</v>
      </c>
      <c r="D488" s="2" t="s">
        <v>35</v>
      </c>
      <c r="E488" s="3" t="s">
        <v>1333</v>
      </c>
      <c r="I488" s="7" t="str">
        <f t="shared" si="19"/>
        <v>Meter9</v>
      </c>
      <c r="J488" s="7" t="str">
        <f t="shared" si="20"/>
        <v>total_kva</v>
      </c>
    </row>
    <row r="489" spans="1:18" x14ac:dyDescent="0.25">
      <c r="A489" s="2">
        <v>477</v>
      </c>
      <c r="B489" s="3" t="s">
        <v>960</v>
      </c>
      <c r="C489" s="2" t="s">
        <v>961</v>
      </c>
      <c r="D489" s="2" t="s">
        <v>35</v>
      </c>
      <c r="E489" s="3" t="s">
        <v>1334</v>
      </c>
      <c r="I489" s="7" t="str">
        <f t="shared" si="19"/>
        <v>Meter9</v>
      </c>
      <c r="J489" s="7" t="str">
        <f t="shared" si="20"/>
        <v>total_kvar</v>
      </c>
    </row>
    <row r="490" spans="1:18" x14ac:dyDescent="0.25">
      <c r="A490" s="2">
        <v>478</v>
      </c>
      <c r="B490" s="3" t="s">
        <v>962</v>
      </c>
      <c r="C490" s="2" t="s">
        <v>963</v>
      </c>
      <c r="D490" s="2" t="s">
        <v>35</v>
      </c>
      <c r="E490" s="3" t="s">
        <v>1335</v>
      </c>
      <c r="I490" s="7" t="str">
        <f t="shared" si="19"/>
        <v>Meter9</v>
      </c>
      <c r="J490" s="7" t="str">
        <f t="shared" si="20"/>
        <v>PF1</v>
      </c>
    </row>
    <row r="491" spans="1:18" x14ac:dyDescent="0.25">
      <c r="A491" s="2">
        <v>479</v>
      </c>
      <c r="B491" s="3" t="s">
        <v>964</v>
      </c>
      <c r="C491" s="2" t="s">
        <v>965</v>
      </c>
      <c r="D491" s="2" t="s">
        <v>35</v>
      </c>
      <c r="E491" s="3" t="s">
        <v>1336</v>
      </c>
      <c r="I491" s="7" t="str">
        <f t="shared" si="19"/>
        <v>Meter9</v>
      </c>
      <c r="J491" s="7" t="str">
        <f t="shared" si="20"/>
        <v>PF2</v>
      </c>
    </row>
    <row r="492" spans="1:18" x14ac:dyDescent="0.25">
      <c r="A492" s="2">
        <v>480</v>
      </c>
      <c r="B492" s="3" t="s">
        <v>966</v>
      </c>
      <c r="C492" s="2" t="s">
        <v>967</v>
      </c>
      <c r="D492" s="2" t="s">
        <v>35</v>
      </c>
      <c r="E492" s="3" t="s">
        <v>1337</v>
      </c>
      <c r="I492" s="7" t="str">
        <f t="shared" si="19"/>
        <v>Meter9</v>
      </c>
      <c r="J492" s="7" t="str">
        <f t="shared" si="20"/>
        <v>PF3</v>
      </c>
    </row>
    <row r="493" spans="1:18" x14ac:dyDescent="0.25">
      <c r="A493" s="2">
        <v>481</v>
      </c>
      <c r="B493" s="3" t="s">
        <v>968</v>
      </c>
      <c r="C493" s="2" t="s">
        <v>969</v>
      </c>
      <c r="D493" s="2" t="s">
        <v>35</v>
      </c>
      <c r="E493" s="3" t="s">
        <v>1338</v>
      </c>
      <c r="I493" s="7" t="str">
        <f t="shared" si="19"/>
        <v>Meter9</v>
      </c>
      <c r="J493" s="7" t="str">
        <f t="shared" si="20"/>
        <v>PF</v>
      </c>
      <c r="O493" t="s">
        <v>1405</v>
      </c>
      <c r="R493" t="s">
        <v>1405</v>
      </c>
    </row>
    <row r="494" spans="1:18" x14ac:dyDescent="0.25">
      <c r="A494" s="2">
        <v>482</v>
      </c>
      <c r="B494" s="3" t="s">
        <v>970</v>
      </c>
      <c r="C494" s="2" t="s">
        <v>971</v>
      </c>
      <c r="D494" s="2" t="s">
        <v>35</v>
      </c>
      <c r="E494" s="3" t="s">
        <v>1339</v>
      </c>
      <c r="I494" s="7" t="str">
        <f t="shared" si="19"/>
        <v>Meter9</v>
      </c>
      <c r="J494" s="7" t="str">
        <f t="shared" si="20"/>
        <v>freq</v>
      </c>
      <c r="O494" t="s">
        <v>1339</v>
      </c>
      <c r="R494" t="s">
        <v>1339</v>
      </c>
    </row>
    <row r="495" spans="1:18" x14ac:dyDescent="0.25">
      <c r="A495" s="2">
        <v>483</v>
      </c>
      <c r="B495" s="3" t="s">
        <v>972</v>
      </c>
      <c r="C495" s="2" t="s">
        <v>973</v>
      </c>
      <c r="D495" s="2" t="s">
        <v>35</v>
      </c>
      <c r="E495" s="3" t="s">
        <v>1340</v>
      </c>
      <c r="I495" s="7" t="str">
        <f t="shared" si="19"/>
        <v>Meter9</v>
      </c>
      <c r="J495" s="7" t="str">
        <f t="shared" si="20"/>
        <v>kwh</v>
      </c>
      <c r="O495" t="s">
        <v>1340</v>
      </c>
      <c r="R495" t="s">
        <v>1340</v>
      </c>
    </row>
    <row r="496" spans="1:18" x14ac:dyDescent="0.25">
      <c r="A496" s="2">
        <v>484</v>
      </c>
      <c r="B496" s="3" t="s">
        <v>974</v>
      </c>
      <c r="C496" s="2" t="s">
        <v>975</v>
      </c>
      <c r="D496" s="2" t="s">
        <v>35</v>
      </c>
      <c r="E496" s="3" t="s">
        <v>1341</v>
      </c>
      <c r="I496" s="7" t="str">
        <f t="shared" si="19"/>
        <v>Meter9</v>
      </c>
      <c r="J496" s="7" t="str">
        <f t="shared" si="20"/>
        <v>kvah</v>
      </c>
    </row>
    <row r="497" spans="1:16" x14ac:dyDescent="0.25">
      <c r="A497" s="2">
        <v>485</v>
      </c>
      <c r="B497" s="3" t="s">
        <v>976</v>
      </c>
      <c r="C497" s="2" t="s">
        <v>977</v>
      </c>
      <c r="D497" s="2" t="s">
        <v>35</v>
      </c>
      <c r="E497" s="3" t="s">
        <v>1342</v>
      </c>
      <c r="I497" s="7" t="str">
        <f t="shared" si="19"/>
        <v>Meter9</v>
      </c>
      <c r="J497" s="7" t="str">
        <f t="shared" si="20"/>
        <v>kvarh</v>
      </c>
    </row>
    <row r="498" spans="1:16" x14ac:dyDescent="0.25">
      <c r="A498" s="2">
        <v>486</v>
      </c>
      <c r="B498" s="3" t="s">
        <v>978</v>
      </c>
      <c r="C498" s="2" t="s">
        <v>979</v>
      </c>
      <c r="D498" s="2" t="s">
        <v>7</v>
      </c>
      <c r="E498" s="3" t="s">
        <v>1343</v>
      </c>
      <c r="I498" s="7" t="str">
        <f t="shared" si="19"/>
        <v>Pump9</v>
      </c>
      <c r="J498" s="7" t="str">
        <f t="shared" si="20"/>
        <v>Ctrl_run_Pump</v>
      </c>
    </row>
    <row r="499" spans="1:16" x14ac:dyDescent="0.25">
      <c r="A499" s="2">
        <v>487</v>
      </c>
      <c r="B499" s="3" t="s">
        <v>980</v>
      </c>
      <c r="C499" s="2" t="s">
        <v>981</v>
      </c>
      <c r="D499" s="2" t="s">
        <v>7</v>
      </c>
      <c r="E499" s="3" t="s">
        <v>1354</v>
      </c>
      <c r="I499" s="7" t="str">
        <f t="shared" si="19"/>
        <v>Pump9</v>
      </c>
      <c r="J499" s="7" t="str">
        <f t="shared" si="20"/>
        <v>FB_Fault</v>
      </c>
      <c r="L499" s="11"/>
      <c r="P499" t="s">
        <v>1397</v>
      </c>
    </row>
    <row r="500" spans="1:16" x14ac:dyDescent="0.25">
      <c r="A500" s="2">
        <v>488</v>
      </c>
      <c r="B500" s="3" t="s">
        <v>982</v>
      </c>
      <c r="C500" s="2" t="s">
        <v>983</v>
      </c>
      <c r="D500" s="2" t="s">
        <v>7</v>
      </c>
      <c r="E500" s="3" t="s">
        <v>1344</v>
      </c>
      <c r="I500" s="7" t="str">
        <f t="shared" si="19"/>
        <v>Pump9</v>
      </c>
      <c r="J500" s="7" t="str">
        <f t="shared" si="20"/>
        <v>Ctrl_PB_Run</v>
      </c>
    </row>
    <row r="501" spans="1:16" x14ac:dyDescent="0.25">
      <c r="A501" s="2">
        <v>489</v>
      </c>
      <c r="B501" s="3" t="s">
        <v>984</v>
      </c>
      <c r="C501" s="2" t="s">
        <v>985</v>
      </c>
      <c r="D501" s="2" t="s">
        <v>7</v>
      </c>
      <c r="E501" s="3" t="s">
        <v>1345</v>
      </c>
      <c r="I501" s="7" t="str">
        <f t="shared" si="19"/>
        <v>Pump9</v>
      </c>
      <c r="J501" s="7" t="str">
        <f t="shared" si="20"/>
        <v>Ctrl_PB_Stop</v>
      </c>
    </row>
    <row r="502" spans="1:16" x14ac:dyDescent="0.25">
      <c r="A502" s="2">
        <v>490</v>
      </c>
      <c r="B502" s="3" t="s">
        <v>986</v>
      </c>
      <c r="C502" s="2" t="s">
        <v>987</v>
      </c>
      <c r="D502" s="2" t="s">
        <v>7</v>
      </c>
      <c r="E502" s="3" t="s">
        <v>1346</v>
      </c>
      <c r="I502" s="7" t="str">
        <f t="shared" si="19"/>
        <v>Pump9</v>
      </c>
      <c r="J502" s="7" t="str">
        <f t="shared" si="20"/>
        <v>Ctrl_PB_RST</v>
      </c>
    </row>
    <row r="503" spans="1:16" x14ac:dyDescent="0.25">
      <c r="A503" s="2">
        <v>491</v>
      </c>
      <c r="B503" s="3" t="s">
        <v>988</v>
      </c>
      <c r="C503" s="2" t="s">
        <v>989</v>
      </c>
      <c r="D503" s="2" t="s">
        <v>24</v>
      </c>
      <c r="E503" s="3" t="s">
        <v>1347</v>
      </c>
      <c r="I503" s="7" t="str">
        <f t="shared" si="19"/>
        <v>Pump9</v>
      </c>
      <c r="J503" s="7" t="str">
        <f t="shared" si="20"/>
        <v>Time_Run_M</v>
      </c>
      <c r="O503" s="20" t="s">
        <v>1417</v>
      </c>
    </row>
    <row r="504" spans="1:16" x14ac:dyDescent="0.25">
      <c r="A504" s="2">
        <v>492</v>
      </c>
      <c r="B504" s="3" t="s">
        <v>990</v>
      </c>
      <c r="C504" s="2" t="s">
        <v>991</v>
      </c>
      <c r="D504" s="2" t="s">
        <v>24</v>
      </c>
      <c r="E504" s="3" t="s">
        <v>1348</v>
      </c>
      <c r="I504" s="7" t="str">
        <f t="shared" si="19"/>
        <v>Pump9</v>
      </c>
      <c r="J504" s="7" t="str">
        <f t="shared" si="20"/>
        <v>Time_Run_H</v>
      </c>
      <c r="O504" s="20"/>
    </row>
    <row r="505" spans="1:16" x14ac:dyDescent="0.25">
      <c r="A505" s="2">
        <v>493</v>
      </c>
      <c r="B505" s="3" t="s">
        <v>992</v>
      </c>
      <c r="C505" s="2" t="s">
        <v>993</v>
      </c>
      <c r="D505" s="2" t="s">
        <v>24</v>
      </c>
      <c r="E505" s="3" t="s">
        <v>1349</v>
      </c>
      <c r="I505" s="7" t="str">
        <f t="shared" si="19"/>
        <v>Pump9</v>
      </c>
      <c r="J505" s="7" t="str">
        <f t="shared" si="20"/>
        <v>Total_Time_Run_M</v>
      </c>
      <c r="O505" s="20" t="s">
        <v>1418</v>
      </c>
    </row>
    <row r="506" spans="1:16" x14ac:dyDescent="0.25">
      <c r="A506" s="2">
        <v>494</v>
      </c>
      <c r="B506" s="3" t="s">
        <v>994</v>
      </c>
      <c r="C506" s="2" t="s">
        <v>995</v>
      </c>
      <c r="D506" s="2" t="s">
        <v>24</v>
      </c>
      <c r="E506" s="3" t="s">
        <v>1350</v>
      </c>
      <c r="I506" s="7" t="str">
        <f t="shared" si="19"/>
        <v>Pump9</v>
      </c>
      <c r="J506" s="7" t="str">
        <f t="shared" si="20"/>
        <v>Total_Time_Run_H</v>
      </c>
      <c r="N506" t="s">
        <v>1407</v>
      </c>
      <c r="O506" s="20"/>
    </row>
    <row r="507" spans="1:16" x14ac:dyDescent="0.25">
      <c r="A507" s="2">
        <v>495</v>
      </c>
      <c r="B507" s="3" t="s">
        <v>996</v>
      </c>
      <c r="C507" s="2" t="s">
        <v>997</v>
      </c>
      <c r="D507" s="2" t="s">
        <v>24</v>
      </c>
      <c r="E507" s="3" t="s">
        <v>1351</v>
      </c>
      <c r="I507" s="7" t="str">
        <f t="shared" si="19"/>
        <v>Pump9</v>
      </c>
      <c r="J507" s="7" t="str">
        <f t="shared" si="20"/>
        <v>NumberOfclose</v>
      </c>
    </row>
    <row r="508" spans="1:16" x14ac:dyDescent="0.25">
      <c r="A508" s="2">
        <v>496</v>
      </c>
      <c r="B508" s="3" t="s">
        <v>998</v>
      </c>
      <c r="C508" s="2" t="s">
        <v>999</v>
      </c>
      <c r="D508" s="2" t="s">
        <v>7</v>
      </c>
      <c r="E508" s="3" t="s">
        <v>1355</v>
      </c>
      <c r="I508" s="7" t="str">
        <f t="shared" si="19"/>
        <v>Pump10</v>
      </c>
      <c r="J508" s="7" t="str">
        <f t="shared" si="20"/>
        <v>FB_auto</v>
      </c>
    </row>
    <row r="509" spans="1:16" x14ac:dyDescent="0.25">
      <c r="A509" s="2">
        <v>497</v>
      </c>
      <c r="B509" s="3" t="s">
        <v>1000</v>
      </c>
      <c r="C509" s="2" t="s">
        <v>1001</v>
      </c>
      <c r="D509" s="2" t="s">
        <v>7</v>
      </c>
      <c r="E509" s="3" t="s">
        <v>1306</v>
      </c>
      <c r="I509" s="7" t="str">
        <f t="shared" si="19"/>
        <v>Pump10</v>
      </c>
      <c r="J509" s="7" t="str">
        <f t="shared" si="20"/>
        <v>FB_Run</v>
      </c>
      <c r="L509" s="9"/>
      <c r="M509" t="s">
        <v>1397</v>
      </c>
      <c r="N509" t="s">
        <v>1397</v>
      </c>
      <c r="O509" t="s">
        <v>1397</v>
      </c>
    </row>
    <row r="510" spans="1:16" x14ac:dyDescent="0.25">
      <c r="A510" s="2">
        <v>498</v>
      </c>
      <c r="B510" s="3" t="s">
        <v>1002</v>
      </c>
      <c r="C510" s="2" t="s">
        <v>1003</v>
      </c>
      <c r="D510" s="2" t="s">
        <v>7</v>
      </c>
      <c r="E510" s="3" t="s">
        <v>1307</v>
      </c>
      <c r="I510" s="7" t="str">
        <f t="shared" si="19"/>
        <v>Pump10</v>
      </c>
      <c r="J510" s="7" t="str">
        <f t="shared" si="20"/>
        <v>FB_Fault_V</v>
      </c>
      <c r="P510" t="s">
        <v>1397</v>
      </c>
    </row>
    <row r="511" spans="1:16" x14ac:dyDescent="0.25">
      <c r="A511" s="2">
        <v>499</v>
      </c>
      <c r="B511" s="3" t="s">
        <v>1004</v>
      </c>
      <c r="C511" s="2" t="s">
        <v>1005</v>
      </c>
      <c r="D511" s="2" t="s">
        <v>7</v>
      </c>
      <c r="E511" s="3" t="s">
        <v>1307</v>
      </c>
      <c r="I511" s="7" t="str">
        <f t="shared" si="19"/>
        <v>Pump10</v>
      </c>
      <c r="J511" s="7" t="str">
        <f t="shared" si="20"/>
        <v>FB_Fault_SS</v>
      </c>
      <c r="M511" t="s">
        <v>1397</v>
      </c>
      <c r="P511" t="s">
        <v>1397</v>
      </c>
    </row>
    <row r="512" spans="1:16" x14ac:dyDescent="0.25">
      <c r="A512" s="2">
        <v>500</v>
      </c>
      <c r="B512" s="3" t="s">
        <v>1006</v>
      </c>
      <c r="C512" s="2" t="s">
        <v>1007</v>
      </c>
      <c r="D512" s="2" t="s">
        <v>7</v>
      </c>
      <c r="E512" s="3" t="s">
        <v>1356</v>
      </c>
      <c r="I512" s="7" t="str">
        <f t="shared" si="19"/>
        <v>Pump10</v>
      </c>
      <c r="J512" s="7" t="str">
        <f t="shared" si="20"/>
        <v>FB_Fault_Temp</v>
      </c>
      <c r="P512" t="s">
        <v>1397</v>
      </c>
    </row>
    <row r="513" spans="1:18" x14ac:dyDescent="0.25">
      <c r="A513" s="2">
        <v>501</v>
      </c>
      <c r="B513" s="3" t="s">
        <v>1008</v>
      </c>
      <c r="C513" s="2" t="s">
        <v>1009</v>
      </c>
      <c r="D513" s="2" t="s">
        <v>7</v>
      </c>
      <c r="E513" s="3" t="s">
        <v>1307</v>
      </c>
      <c r="I513" s="7" t="str">
        <f t="shared" si="19"/>
        <v>Pump10</v>
      </c>
      <c r="J513" s="7" t="str">
        <f t="shared" si="20"/>
        <v>FB_Fault_Curent</v>
      </c>
      <c r="P513" t="s">
        <v>1397</v>
      </c>
    </row>
    <row r="514" spans="1:18" x14ac:dyDescent="0.25">
      <c r="A514" s="2">
        <v>502</v>
      </c>
      <c r="B514" s="3" t="s">
        <v>1010</v>
      </c>
      <c r="C514" s="2" t="s">
        <v>1011</v>
      </c>
      <c r="D514" s="2" t="s">
        <v>7</v>
      </c>
      <c r="E514" s="3" t="s">
        <v>1357</v>
      </c>
      <c r="I514" s="7" t="str">
        <f t="shared" si="19"/>
        <v>Pump10</v>
      </c>
      <c r="J514" s="7" t="str">
        <f t="shared" si="20"/>
        <v>Clock_1m</v>
      </c>
    </row>
    <row r="515" spans="1:18" x14ac:dyDescent="0.25">
      <c r="A515" s="2">
        <v>503</v>
      </c>
      <c r="B515" s="3" t="s">
        <v>1012</v>
      </c>
      <c r="C515" s="2" t="s">
        <v>1013</v>
      </c>
      <c r="D515" s="2" t="s">
        <v>7</v>
      </c>
      <c r="E515" s="3" t="s">
        <v>1358</v>
      </c>
      <c r="I515" s="7" t="str">
        <f t="shared" si="19"/>
        <v>Pump10</v>
      </c>
      <c r="J515" s="7" t="str">
        <f t="shared" si="20"/>
        <v>FB_stop</v>
      </c>
      <c r="L515" s="10"/>
      <c r="M515" t="s">
        <v>1397</v>
      </c>
      <c r="N515" t="s">
        <v>1397</v>
      </c>
      <c r="O515" t="s">
        <v>1397</v>
      </c>
    </row>
    <row r="516" spans="1:18" x14ac:dyDescent="0.25">
      <c r="A516" s="2">
        <v>8</v>
      </c>
      <c r="B516" s="12" t="s">
        <v>1442</v>
      </c>
      <c r="C516" s="2" t="s">
        <v>21</v>
      </c>
      <c r="D516" s="2" t="s">
        <v>7</v>
      </c>
      <c r="E516" s="3" t="s">
        <v>1393</v>
      </c>
      <c r="I516" s="7" t="str">
        <f t="shared" si="19"/>
        <v>Pump10</v>
      </c>
      <c r="J516" s="7" t="str">
        <f t="shared" si="20"/>
        <v>FB_maintenance</v>
      </c>
      <c r="L516" s="13"/>
      <c r="M516" t="s">
        <v>1397</v>
      </c>
      <c r="N516" t="s">
        <v>1397</v>
      </c>
      <c r="O516" t="s">
        <v>1397</v>
      </c>
    </row>
    <row r="517" spans="1:18" x14ac:dyDescent="0.25">
      <c r="A517" s="2">
        <v>504</v>
      </c>
      <c r="B517" s="3" t="s">
        <v>1014</v>
      </c>
      <c r="C517" s="2" t="s">
        <v>1015</v>
      </c>
      <c r="D517" s="2" t="s">
        <v>24</v>
      </c>
      <c r="E517" s="3" t="s">
        <v>1352</v>
      </c>
      <c r="I517" s="7" t="str">
        <f t="shared" si="19"/>
        <v>Pump10</v>
      </c>
      <c r="J517" s="7" t="str">
        <f t="shared" si="20"/>
        <v>FB_Temp_DEBearing</v>
      </c>
      <c r="O517" t="s">
        <v>1399</v>
      </c>
      <c r="Q517" t="s">
        <v>1424</v>
      </c>
      <c r="R517" t="s">
        <v>1424</v>
      </c>
    </row>
    <row r="518" spans="1:18" x14ac:dyDescent="0.25">
      <c r="A518" s="2">
        <v>505</v>
      </c>
      <c r="B518" s="3" t="s">
        <v>1016</v>
      </c>
      <c r="C518" s="2" t="s">
        <v>1017</v>
      </c>
      <c r="D518" s="2" t="s">
        <v>24</v>
      </c>
      <c r="E518" s="3" t="s">
        <v>1353</v>
      </c>
      <c r="I518" s="7" t="str">
        <f t="shared" si="19"/>
        <v>Pump10</v>
      </c>
      <c r="J518" s="7" t="str">
        <f t="shared" si="20"/>
        <v>FB_Temp_NDEBearing</v>
      </c>
      <c r="O518" t="s">
        <v>1400</v>
      </c>
      <c r="Q518" t="s">
        <v>1425</v>
      </c>
      <c r="R518" t="s">
        <v>1425</v>
      </c>
    </row>
    <row r="519" spans="1:18" x14ac:dyDescent="0.25">
      <c r="A519" s="2">
        <v>506</v>
      </c>
      <c r="B519" s="3" t="s">
        <v>1018</v>
      </c>
      <c r="C519" s="2" t="s">
        <v>1019</v>
      </c>
      <c r="D519" s="2" t="s">
        <v>24</v>
      </c>
      <c r="E519" s="3" t="s">
        <v>1308</v>
      </c>
      <c r="I519" s="7" t="str">
        <f t="shared" si="19"/>
        <v>Pump10</v>
      </c>
      <c r="J519" s="7" t="str">
        <f t="shared" si="20"/>
        <v>FB_Temp_PhaseA</v>
      </c>
      <c r="O519" t="s">
        <v>1401</v>
      </c>
      <c r="Q519" t="s">
        <v>1426</v>
      </c>
      <c r="R519" t="s">
        <v>1426</v>
      </c>
    </row>
    <row r="520" spans="1:18" x14ac:dyDescent="0.25">
      <c r="A520" s="2">
        <v>507</v>
      </c>
      <c r="B520" s="3" t="s">
        <v>1020</v>
      </c>
      <c r="C520" s="2" t="s">
        <v>1021</v>
      </c>
      <c r="D520" s="2" t="s">
        <v>24</v>
      </c>
      <c r="E520" s="3" t="s">
        <v>1309</v>
      </c>
      <c r="I520" s="7" t="str">
        <f t="shared" si="19"/>
        <v>Pump10</v>
      </c>
      <c r="J520" s="7" t="str">
        <f t="shared" si="20"/>
        <v>FB_Temp_PhaseB</v>
      </c>
      <c r="O520" t="s">
        <v>1402</v>
      </c>
      <c r="Q520" t="s">
        <v>1427</v>
      </c>
      <c r="R520" t="s">
        <v>1427</v>
      </c>
    </row>
    <row r="521" spans="1:18" x14ac:dyDescent="0.25">
      <c r="A521" s="2">
        <v>508</v>
      </c>
      <c r="B521" s="3" t="s">
        <v>1022</v>
      </c>
      <c r="C521" s="2" t="s">
        <v>1023</v>
      </c>
      <c r="D521" s="2" t="s">
        <v>24</v>
      </c>
      <c r="E521" s="3" t="s">
        <v>1310</v>
      </c>
      <c r="I521" s="7" t="str">
        <f t="shared" si="19"/>
        <v>Pump10</v>
      </c>
      <c r="J521" s="7" t="str">
        <f t="shared" si="20"/>
        <v>FB_Temp_PhaseC</v>
      </c>
      <c r="O521" t="s">
        <v>1403</v>
      </c>
      <c r="Q521" t="s">
        <v>1428</v>
      </c>
      <c r="R521" t="s">
        <v>1428</v>
      </c>
    </row>
    <row r="522" spans="1:18" x14ac:dyDescent="0.25">
      <c r="A522" s="2">
        <v>509</v>
      </c>
      <c r="B522" s="3" t="s">
        <v>1024</v>
      </c>
      <c r="C522" s="2" t="s">
        <v>1025</v>
      </c>
      <c r="D522" s="2" t="s">
        <v>35</v>
      </c>
      <c r="E522" s="3" t="s">
        <v>1315</v>
      </c>
      <c r="I522" s="7" t="str">
        <f t="shared" si="19"/>
        <v>Meter10</v>
      </c>
      <c r="J522" s="7" t="str">
        <f t="shared" si="20"/>
        <v>U1</v>
      </c>
    </row>
    <row r="523" spans="1:18" x14ac:dyDescent="0.25">
      <c r="A523" s="2">
        <v>510</v>
      </c>
      <c r="B523" s="3" t="s">
        <v>1026</v>
      </c>
      <c r="C523" s="2" t="s">
        <v>1027</v>
      </c>
      <c r="D523" s="2" t="s">
        <v>35</v>
      </c>
      <c r="E523" s="3" t="s">
        <v>1316</v>
      </c>
      <c r="I523" s="7" t="str">
        <f t="shared" si="19"/>
        <v>Meter10</v>
      </c>
      <c r="J523" s="7" t="str">
        <f t="shared" si="20"/>
        <v>U2</v>
      </c>
    </row>
    <row r="524" spans="1:18" x14ac:dyDescent="0.25">
      <c r="A524" s="2">
        <v>511</v>
      </c>
      <c r="B524" s="3" t="s">
        <v>1028</v>
      </c>
      <c r="C524" s="2" t="s">
        <v>1029</v>
      </c>
      <c r="D524" s="2" t="s">
        <v>35</v>
      </c>
      <c r="E524" s="3" t="s">
        <v>1317</v>
      </c>
      <c r="I524" s="7" t="str">
        <f t="shared" si="19"/>
        <v>Meter10</v>
      </c>
      <c r="J524" s="7" t="str">
        <f t="shared" si="20"/>
        <v>U3</v>
      </c>
    </row>
    <row r="525" spans="1:18" x14ac:dyDescent="0.25">
      <c r="A525" s="2">
        <v>512</v>
      </c>
      <c r="B525" s="3" t="s">
        <v>1030</v>
      </c>
      <c r="C525" s="2" t="s">
        <v>1031</v>
      </c>
      <c r="D525" s="2" t="s">
        <v>35</v>
      </c>
      <c r="E525" s="3" t="s">
        <v>1318</v>
      </c>
      <c r="I525" s="7" t="str">
        <f t="shared" si="19"/>
        <v>Meter10</v>
      </c>
      <c r="J525" s="7" t="str">
        <f t="shared" si="20"/>
        <v>U_Ph</v>
      </c>
    </row>
    <row r="526" spans="1:18" x14ac:dyDescent="0.25">
      <c r="A526" s="2">
        <v>513</v>
      </c>
      <c r="B526" s="3" t="s">
        <v>1032</v>
      </c>
      <c r="C526" s="2" t="s">
        <v>1033</v>
      </c>
      <c r="D526" s="2" t="s">
        <v>35</v>
      </c>
      <c r="E526" s="3" t="s">
        <v>1319</v>
      </c>
      <c r="I526" s="7" t="str">
        <f t="shared" si="19"/>
        <v>Meter10</v>
      </c>
      <c r="J526" s="7" t="str">
        <f t="shared" si="20"/>
        <v>U12</v>
      </c>
      <c r="O526" t="s">
        <v>1319</v>
      </c>
      <c r="R526" t="s">
        <v>1319</v>
      </c>
    </row>
    <row r="527" spans="1:18" x14ac:dyDescent="0.25">
      <c r="A527" s="2">
        <v>514</v>
      </c>
      <c r="B527" s="3" t="s">
        <v>1034</v>
      </c>
      <c r="C527" s="2" t="s">
        <v>1035</v>
      </c>
      <c r="D527" s="2" t="s">
        <v>35</v>
      </c>
      <c r="E527" s="3" t="s">
        <v>1320</v>
      </c>
      <c r="I527" s="7" t="str">
        <f t="shared" ref="I527:I590" si="21">LEFT(B527, SEARCH("_",B527 ) - 1)</f>
        <v>Meter10</v>
      </c>
      <c r="J527" s="7" t="str">
        <f t="shared" si="20"/>
        <v>U23</v>
      </c>
      <c r="O527" t="s">
        <v>1320</v>
      </c>
      <c r="R527" t="s">
        <v>1320</v>
      </c>
    </row>
    <row r="528" spans="1:18" x14ac:dyDescent="0.25">
      <c r="A528" s="2">
        <v>515</v>
      </c>
      <c r="B528" s="3" t="s">
        <v>1036</v>
      </c>
      <c r="C528" s="2" t="s">
        <v>1037</v>
      </c>
      <c r="D528" s="2" t="s">
        <v>35</v>
      </c>
      <c r="E528" s="3" t="s">
        <v>1321</v>
      </c>
      <c r="I528" s="7" t="str">
        <f t="shared" si="21"/>
        <v>Meter10</v>
      </c>
      <c r="J528" s="7" t="str">
        <f t="shared" si="20"/>
        <v>U31</v>
      </c>
      <c r="O528" t="s">
        <v>1321</v>
      </c>
      <c r="R528" t="s">
        <v>1321</v>
      </c>
    </row>
    <row r="529" spans="1:18" x14ac:dyDescent="0.25">
      <c r="A529" s="2">
        <v>516</v>
      </c>
      <c r="B529" s="3" t="s">
        <v>1038</v>
      </c>
      <c r="C529" s="2" t="s">
        <v>1039</v>
      </c>
      <c r="D529" s="2" t="s">
        <v>35</v>
      </c>
      <c r="E529" s="3" t="s">
        <v>1322</v>
      </c>
      <c r="I529" s="7" t="str">
        <f t="shared" si="21"/>
        <v>Meter10</v>
      </c>
      <c r="J529" s="7" t="str">
        <f t="shared" si="20"/>
        <v>Uline</v>
      </c>
    </row>
    <row r="530" spans="1:18" x14ac:dyDescent="0.25">
      <c r="A530" s="2">
        <v>517</v>
      </c>
      <c r="B530" s="3" t="s">
        <v>1040</v>
      </c>
      <c r="C530" s="2" t="s">
        <v>1041</v>
      </c>
      <c r="D530" s="2" t="s">
        <v>35</v>
      </c>
      <c r="E530" s="3" t="s">
        <v>1312</v>
      </c>
      <c r="I530" s="7" t="str">
        <f t="shared" si="21"/>
        <v>Meter10</v>
      </c>
      <c r="J530" s="7" t="str">
        <f t="shared" si="20"/>
        <v>I1</v>
      </c>
      <c r="Q530" s="3" t="s">
        <v>1429</v>
      </c>
      <c r="R530" s="3" t="s">
        <v>1429</v>
      </c>
    </row>
    <row r="531" spans="1:18" x14ac:dyDescent="0.25">
      <c r="A531" s="2">
        <v>518</v>
      </c>
      <c r="B531" s="3" t="s">
        <v>1042</v>
      </c>
      <c r="C531" s="2" t="s">
        <v>1043</v>
      </c>
      <c r="D531" s="2" t="s">
        <v>35</v>
      </c>
      <c r="E531" s="3" t="s">
        <v>1313</v>
      </c>
      <c r="I531" s="7" t="str">
        <f t="shared" si="21"/>
        <v>Meter10</v>
      </c>
      <c r="J531" s="7" t="str">
        <f t="shared" si="20"/>
        <v>I2</v>
      </c>
      <c r="Q531" s="3" t="s">
        <v>1430</v>
      </c>
      <c r="R531" s="3" t="s">
        <v>1430</v>
      </c>
    </row>
    <row r="532" spans="1:18" x14ac:dyDescent="0.25">
      <c r="A532" s="2">
        <v>519</v>
      </c>
      <c r="B532" s="3" t="s">
        <v>1044</v>
      </c>
      <c r="C532" s="2" t="s">
        <v>1045</v>
      </c>
      <c r="D532" s="2" t="s">
        <v>35</v>
      </c>
      <c r="E532" s="3" t="s">
        <v>1314</v>
      </c>
      <c r="I532" s="7" t="str">
        <f t="shared" si="21"/>
        <v>Meter10</v>
      </c>
      <c r="J532" s="7" t="str">
        <f t="shared" ref="J532:J595" si="22">RIGHT(B532, LEN(B532)-SEARCH("_",B532 ))</f>
        <v>I3</v>
      </c>
      <c r="Q532" s="3" t="s">
        <v>1431</v>
      </c>
      <c r="R532" s="3" t="s">
        <v>1431</v>
      </c>
    </row>
    <row r="533" spans="1:18" x14ac:dyDescent="0.25">
      <c r="A533" s="2">
        <v>520</v>
      </c>
      <c r="B533" s="3" t="s">
        <v>1046</v>
      </c>
      <c r="C533" s="2" t="s">
        <v>1047</v>
      </c>
      <c r="D533" s="2" t="s">
        <v>35</v>
      </c>
      <c r="E533" s="3" t="s">
        <v>1311</v>
      </c>
      <c r="I533" s="7" t="str">
        <f t="shared" si="21"/>
        <v>Meter10</v>
      </c>
      <c r="J533" s="7" t="str">
        <f t="shared" si="22"/>
        <v>I_ph</v>
      </c>
      <c r="N533" t="s">
        <v>1404</v>
      </c>
      <c r="O533" t="s">
        <v>1404</v>
      </c>
      <c r="R533" t="s">
        <v>1433</v>
      </c>
    </row>
    <row r="534" spans="1:18" x14ac:dyDescent="0.25">
      <c r="A534" s="2">
        <v>521</v>
      </c>
      <c r="B534" s="3" t="s">
        <v>1048</v>
      </c>
      <c r="C534" s="2" t="s">
        <v>1049</v>
      </c>
      <c r="D534" s="2" t="s">
        <v>35</v>
      </c>
      <c r="E534" s="3" t="s">
        <v>1323</v>
      </c>
      <c r="I534" s="7" t="str">
        <f t="shared" si="21"/>
        <v>Meter10</v>
      </c>
      <c r="J534" s="7" t="str">
        <f t="shared" si="22"/>
        <v>kw1</v>
      </c>
    </row>
    <row r="535" spans="1:18" x14ac:dyDescent="0.25">
      <c r="A535" s="2">
        <v>522</v>
      </c>
      <c r="B535" s="3" t="s">
        <v>1050</v>
      </c>
      <c r="C535" s="2" t="s">
        <v>1051</v>
      </c>
      <c r="D535" s="2" t="s">
        <v>35</v>
      </c>
      <c r="E535" s="3" t="s">
        <v>1324</v>
      </c>
      <c r="I535" s="7" t="str">
        <f t="shared" si="21"/>
        <v>Meter10</v>
      </c>
      <c r="J535" s="7" t="str">
        <f t="shared" si="22"/>
        <v>kw2</v>
      </c>
    </row>
    <row r="536" spans="1:18" x14ac:dyDescent="0.25">
      <c r="A536" s="2">
        <v>523</v>
      </c>
      <c r="B536" s="3" t="s">
        <v>1052</v>
      </c>
      <c r="C536" s="2" t="s">
        <v>1053</v>
      </c>
      <c r="D536" s="2" t="s">
        <v>35</v>
      </c>
      <c r="E536" s="3" t="s">
        <v>1325</v>
      </c>
      <c r="I536" s="7" t="str">
        <f t="shared" si="21"/>
        <v>Meter10</v>
      </c>
      <c r="J536" s="7" t="str">
        <f t="shared" si="22"/>
        <v>kw3</v>
      </c>
    </row>
    <row r="537" spans="1:18" x14ac:dyDescent="0.25">
      <c r="A537" s="2">
        <v>524</v>
      </c>
      <c r="B537" s="3" t="s">
        <v>1054</v>
      </c>
      <c r="C537" s="2" t="s">
        <v>1055</v>
      </c>
      <c r="D537" s="2" t="s">
        <v>35</v>
      </c>
      <c r="E537" s="3" t="s">
        <v>1326</v>
      </c>
      <c r="I537" s="7" t="str">
        <f t="shared" si="21"/>
        <v>Meter10</v>
      </c>
      <c r="J537" s="7" t="str">
        <f t="shared" si="22"/>
        <v>kva1</v>
      </c>
    </row>
    <row r="538" spans="1:18" x14ac:dyDescent="0.25">
      <c r="A538" s="2">
        <v>525</v>
      </c>
      <c r="B538" s="3" t="s">
        <v>1056</v>
      </c>
      <c r="C538" s="2" t="s">
        <v>1057</v>
      </c>
      <c r="D538" s="2" t="s">
        <v>35</v>
      </c>
      <c r="E538" s="3" t="s">
        <v>1327</v>
      </c>
      <c r="I538" s="7" t="str">
        <f t="shared" si="21"/>
        <v>Meter10</v>
      </c>
      <c r="J538" s="7" t="str">
        <f t="shared" si="22"/>
        <v>kva2</v>
      </c>
    </row>
    <row r="539" spans="1:18" x14ac:dyDescent="0.25">
      <c r="A539" s="2">
        <v>526</v>
      </c>
      <c r="B539" s="3" t="s">
        <v>1058</v>
      </c>
      <c r="C539" s="2" t="s">
        <v>1059</v>
      </c>
      <c r="D539" s="2" t="s">
        <v>35</v>
      </c>
      <c r="E539" s="3" t="s">
        <v>1328</v>
      </c>
      <c r="I539" s="7" t="str">
        <f t="shared" si="21"/>
        <v>Meter10</v>
      </c>
      <c r="J539" s="7" t="str">
        <f t="shared" si="22"/>
        <v>kva3</v>
      </c>
    </row>
    <row r="540" spans="1:18" x14ac:dyDescent="0.25">
      <c r="A540" s="2">
        <v>527</v>
      </c>
      <c r="B540" s="3" t="s">
        <v>1060</v>
      </c>
      <c r="C540" s="2" t="s">
        <v>1061</v>
      </c>
      <c r="D540" s="2" t="s">
        <v>35</v>
      </c>
      <c r="E540" s="3" t="s">
        <v>1329</v>
      </c>
      <c r="I540" s="7" t="str">
        <f t="shared" si="21"/>
        <v>Meter10</v>
      </c>
      <c r="J540" s="7" t="str">
        <f t="shared" si="22"/>
        <v>kvar1</v>
      </c>
    </row>
    <row r="541" spans="1:18" x14ac:dyDescent="0.25">
      <c r="A541" s="2">
        <v>528</v>
      </c>
      <c r="B541" s="3" t="s">
        <v>1062</v>
      </c>
      <c r="C541" s="2" t="s">
        <v>1063</v>
      </c>
      <c r="D541" s="2" t="s">
        <v>35</v>
      </c>
      <c r="E541" s="3" t="s">
        <v>1330</v>
      </c>
      <c r="I541" s="7" t="str">
        <f t="shared" si="21"/>
        <v>Meter10</v>
      </c>
      <c r="J541" s="7" t="str">
        <f t="shared" si="22"/>
        <v>kvar2</v>
      </c>
    </row>
    <row r="542" spans="1:18" x14ac:dyDescent="0.25">
      <c r="A542" s="2">
        <v>529</v>
      </c>
      <c r="B542" s="3" t="s">
        <v>1064</v>
      </c>
      <c r="C542" s="2" t="s">
        <v>1065</v>
      </c>
      <c r="D542" s="2" t="s">
        <v>35</v>
      </c>
      <c r="E542" s="3" t="s">
        <v>1331</v>
      </c>
      <c r="I542" s="7" t="str">
        <f t="shared" si="21"/>
        <v>Meter10</v>
      </c>
      <c r="J542" s="7" t="str">
        <f t="shared" si="22"/>
        <v>kvar3</v>
      </c>
    </row>
    <row r="543" spans="1:18" x14ac:dyDescent="0.25">
      <c r="A543" s="2">
        <v>530</v>
      </c>
      <c r="B543" s="3" t="s">
        <v>1066</v>
      </c>
      <c r="C543" s="2" t="s">
        <v>1067</v>
      </c>
      <c r="D543" s="2" t="s">
        <v>35</v>
      </c>
      <c r="E543" s="3" t="s">
        <v>1332</v>
      </c>
      <c r="I543" s="7" t="str">
        <f t="shared" si="21"/>
        <v>Meter10</v>
      </c>
      <c r="J543" s="7" t="str">
        <f t="shared" si="22"/>
        <v>total_kw</v>
      </c>
      <c r="O543" t="s">
        <v>1406</v>
      </c>
      <c r="R543" t="s">
        <v>1406</v>
      </c>
    </row>
    <row r="544" spans="1:18" x14ac:dyDescent="0.25">
      <c r="A544" s="2">
        <v>531</v>
      </c>
      <c r="B544" s="3" t="s">
        <v>1068</v>
      </c>
      <c r="C544" s="2" t="s">
        <v>1069</v>
      </c>
      <c r="D544" s="2" t="s">
        <v>35</v>
      </c>
      <c r="E544" s="3" t="s">
        <v>1333</v>
      </c>
      <c r="I544" s="7" t="str">
        <f t="shared" si="21"/>
        <v>Meter10</v>
      </c>
      <c r="J544" s="7" t="str">
        <f t="shared" si="22"/>
        <v>total_kva</v>
      </c>
    </row>
    <row r="545" spans="1:18" x14ac:dyDescent="0.25">
      <c r="A545" s="2">
        <v>532</v>
      </c>
      <c r="B545" s="3" t="s">
        <v>1070</v>
      </c>
      <c r="C545" s="2" t="s">
        <v>1071</v>
      </c>
      <c r="D545" s="2" t="s">
        <v>35</v>
      </c>
      <c r="E545" s="3" t="s">
        <v>1334</v>
      </c>
      <c r="I545" s="7" t="str">
        <f t="shared" si="21"/>
        <v>Meter10</v>
      </c>
      <c r="J545" s="7" t="str">
        <f t="shared" si="22"/>
        <v>total_kvar</v>
      </c>
    </row>
    <row r="546" spans="1:18" x14ac:dyDescent="0.25">
      <c r="A546" s="2">
        <v>533</v>
      </c>
      <c r="B546" s="3" t="s">
        <v>1072</v>
      </c>
      <c r="C546" s="2" t="s">
        <v>1073</v>
      </c>
      <c r="D546" s="2" t="s">
        <v>35</v>
      </c>
      <c r="E546" s="3" t="s">
        <v>1335</v>
      </c>
      <c r="I546" s="7" t="str">
        <f t="shared" si="21"/>
        <v>Meter10</v>
      </c>
      <c r="J546" s="7" t="str">
        <f t="shared" si="22"/>
        <v>PF1</v>
      </c>
    </row>
    <row r="547" spans="1:18" x14ac:dyDescent="0.25">
      <c r="A547" s="2">
        <v>534</v>
      </c>
      <c r="B547" s="3" t="s">
        <v>1074</v>
      </c>
      <c r="C547" s="2" t="s">
        <v>1075</v>
      </c>
      <c r="D547" s="2" t="s">
        <v>35</v>
      </c>
      <c r="E547" s="3" t="s">
        <v>1336</v>
      </c>
      <c r="I547" s="7" t="str">
        <f t="shared" si="21"/>
        <v>Meter10</v>
      </c>
      <c r="J547" s="7" t="str">
        <f t="shared" si="22"/>
        <v>PF2</v>
      </c>
    </row>
    <row r="548" spans="1:18" x14ac:dyDescent="0.25">
      <c r="A548" s="2">
        <v>535</v>
      </c>
      <c r="B548" s="3" t="s">
        <v>1076</v>
      </c>
      <c r="C548" s="2" t="s">
        <v>1077</v>
      </c>
      <c r="D548" s="2" t="s">
        <v>35</v>
      </c>
      <c r="E548" s="3" t="s">
        <v>1337</v>
      </c>
      <c r="I548" s="7" t="str">
        <f t="shared" si="21"/>
        <v>Meter10</v>
      </c>
      <c r="J548" s="7" t="str">
        <f t="shared" si="22"/>
        <v>PF3</v>
      </c>
    </row>
    <row r="549" spans="1:18" x14ac:dyDescent="0.25">
      <c r="A549" s="2">
        <v>536</v>
      </c>
      <c r="B549" s="3" t="s">
        <v>1078</v>
      </c>
      <c r="C549" s="2" t="s">
        <v>1079</v>
      </c>
      <c r="D549" s="2" t="s">
        <v>35</v>
      </c>
      <c r="E549" s="3" t="s">
        <v>1338</v>
      </c>
      <c r="I549" s="7" t="str">
        <f t="shared" si="21"/>
        <v>Meter10</v>
      </c>
      <c r="J549" s="7" t="str">
        <f t="shared" si="22"/>
        <v>PF</v>
      </c>
      <c r="O549" t="s">
        <v>1405</v>
      </c>
      <c r="R549" t="s">
        <v>1405</v>
      </c>
    </row>
    <row r="550" spans="1:18" x14ac:dyDescent="0.25">
      <c r="A550" s="2">
        <v>537</v>
      </c>
      <c r="B550" s="3" t="s">
        <v>1080</v>
      </c>
      <c r="C550" s="2" t="s">
        <v>1081</v>
      </c>
      <c r="D550" s="2" t="s">
        <v>35</v>
      </c>
      <c r="E550" s="3" t="s">
        <v>1339</v>
      </c>
      <c r="I550" s="7" t="str">
        <f t="shared" si="21"/>
        <v>Meter10</v>
      </c>
      <c r="J550" s="7" t="str">
        <f t="shared" si="22"/>
        <v>freq</v>
      </c>
      <c r="O550" t="s">
        <v>1339</v>
      </c>
      <c r="R550" t="s">
        <v>1339</v>
      </c>
    </row>
    <row r="551" spans="1:18" x14ac:dyDescent="0.25">
      <c r="A551" s="2">
        <v>538</v>
      </c>
      <c r="B551" s="3" t="s">
        <v>1082</v>
      </c>
      <c r="C551" s="2" t="s">
        <v>1083</v>
      </c>
      <c r="D551" s="2" t="s">
        <v>35</v>
      </c>
      <c r="E551" s="3" t="s">
        <v>1340</v>
      </c>
      <c r="I551" s="7" t="str">
        <f t="shared" si="21"/>
        <v>Meter10</v>
      </c>
      <c r="J551" s="7" t="str">
        <f t="shared" si="22"/>
        <v>kwh</v>
      </c>
      <c r="O551" t="s">
        <v>1340</v>
      </c>
      <c r="R551" t="s">
        <v>1340</v>
      </c>
    </row>
    <row r="552" spans="1:18" x14ac:dyDescent="0.25">
      <c r="A552" s="2">
        <v>539</v>
      </c>
      <c r="B552" s="3" t="s">
        <v>1084</v>
      </c>
      <c r="C552" s="2" t="s">
        <v>1085</v>
      </c>
      <c r="D552" s="2" t="s">
        <v>35</v>
      </c>
      <c r="E552" s="3" t="s">
        <v>1341</v>
      </c>
      <c r="I552" s="7" t="str">
        <f t="shared" si="21"/>
        <v>Meter10</v>
      </c>
      <c r="J552" s="7" t="str">
        <f t="shared" si="22"/>
        <v>kvah</v>
      </c>
    </row>
    <row r="553" spans="1:18" x14ac:dyDescent="0.25">
      <c r="A553" s="2">
        <v>540</v>
      </c>
      <c r="B553" s="3" t="s">
        <v>1086</v>
      </c>
      <c r="C553" s="2" t="s">
        <v>1087</v>
      </c>
      <c r="D553" s="2" t="s">
        <v>35</v>
      </c>
      <c r="E553" s="3" t="s">
        <v>1342</v>
      </c>
      <c r="I553" s="7" t="str">
        <f t="shared" si="21"/>
        <v>Meter10</v>
      </c>
      <c r="J553" s="7" t="str">
        <f t="shared" si="22"/>
        <v>kvarh</v>
      </c>
    </row>
    <row r="554" spans="1:18" x14ac:dyDescent="0.25">
      <c r="A554" s="2">
        <v>541</v>
      </c>
      <c r="B554" s="3" t="s">
        <v>1088</v>
      </c>
      <c r="C554" s="2" t="s">
        <v>1089</v>
      </c>
      <c r="D554" s="2" t="s">
        <v>7</v>
      </c>
      <c r="E554" s="3" t="s">
        <v>1343</v>
      </c>
      <c r="I554" s="7" t="str">
        <f t="shared" si="21"/>
        <v>Pump10</v>
      </c>
      <c r="J554" s="7" t="str">
        <f t="shared" si="22"/>
        <v>Ctrl_run_Pump</v>
      </c>
    </row>
    <row r="555" spans="1:18" x14ac:dyDescent="0.25">
      <c r="A555" s="2">
        <v>542</v>
      </c>
      <c r="B555" s="3" t="s">
        <v>1090</v>
      </c>
      <c r="C555" s="2" t="s">
        <v>1091</v>
      </c>
      <c r="D555" s="2" t="s">
        <v>7</v>
      </c>
      <c r="E555" s="3" t="s">
        <v>1354</v>
      </c>
      <c r="I555" s="7" t="str">
        <f t="shared" si="21"/>
        <v>Pump10</v>
      </c>
      <c r="J555" s="7" t="str">
        <f t="shared" si="22"/>
        <v>FB_Fault</v>
      </c>
      <c r="L555" s="11"/>
      <c r="P555" t="s">
        <v>1397</v>
      </c>
    </row>
    <row r="556" spans="1:18" x14ac:dyDescent="0.25">
      <c r="A556" s="2">
        <v>543</v>
      </c>
      <c r="B556" s="3" t="s">
        <v>1092</v>
      </c>
      <c r="C556" s="2" t="s">
        <v>1093</v>
      </c>
      <c r="D556" s="2" t="s">
        <v>7</v>
      </c>
      <c r="E556" s="3" t="s">
        <v>1344</v>
      </c>
      <c r="I556" s="7" t="str">
        <f t="shared" si="21"/>
        <v>Pump10</v>
      </c>
      <c r="J556" s="7" t="str">
        <f t="shared" si="22"/>
        <v>Ctrl_PB_Run</v>
      </c>
    </row>
    <row r="557" spans="1:18" x14ac:dyDescent="0.25">
      <c r="A557" s="2">
        <v>544</v>
      </c>
      <c r="B557" s="3" t="s">
        <v>1094</v>
      </c>
      <c r="C557" s="2" t="s">
        <v>1095</v>
      </c>
      <c r="D557" s="2" t="s">
        <v>7</v>
      </c>
      <c r="E557" s="3" t="s">
        <v>1345</v>
      </c>
      <c r="I557" s="7" t="str">
        <f t="shared" si="21"/>
        <v>Pump10</v>
      </c>
      <c r="J557" s="7" t="str">
        <f t="shared" si="22"/>
        <v>Ctrl_PB_Stop</v>
      </c>
    </row>
    <row r="558" spans="1:18" x14ac:dyDescent="0.25">
      <c r="A558" s="2">
        <v>545</v>
      </c>
      <c r="B558" s="3" t="s">
        <v>1096</v>
      </c>
      <c r="C558" s="2" t="s">
        <v>1097</v>
      </c>
      <c r="D558" s="2" t="s">
        <v>7</v>
      </c>
      <c r="E558" s="3" t="s">
        <v>1346</v>
      </c>
      <c r="I558" s="7" t="str">
        <f t="shared" si="21"/>
        <v>Pump10</v>
      </c>
      <c r="J558" s="7" t="str">
        <f t="shared" si="22"/>
        <v>Ctrl_PB_RST</v>
      </c>
    </row>
    <row r="559" spans="1:18" x14ac:dyDescent="0.25">
      <c r="A559" s="2">
        <v>546</v>
      </c>
      <c r="B559" s="3" t="s">
        <v>1098</v>
      </c>
      <c r="C559" s="2" t="s">
        <v>1099</v>
      </c>
      <c r="D559" s="2" t="s">
        <v>24</v>
      </c>
      <c r="E559" s="3" t="s">
        <v>1347</v>
      </c>
      <c r="I559" s="7" t="str">
        <f t="shared" si="21"/>
        <v>Pump10</v>
      </c>
      <c r="J559" s="7" t="str">
        <f t="shared" si="22"/>
        <v>Time_Run_M</v>
      </c>
      <c r="O559" s="20" t="s">
        <v>1417</v>
      </c>
    </row>
    <row r="560" spans="1:18" x14ac:dyDescent="0.25">
      <c r="A560" s="2">
        <v>547</v>
      </c>
      <c r="B560" s="3" t="s">
        <v>1100</v>
      </c>
      <c r="C560" s="2" t="s">
        <v>1101</v>
      </c>
      <c r="D560" s="2" t="s">
        <v>24</v>
      </c>
      <c r="E560" s="3" t="s">
        <v>1348</v>
      </c>
      <c r="I560" s="7" t="str">
        <f t="shared" si="21"/>
        <v>Pump10</v>
      </c>
      <c r="J560" s="7" t="str">
        <f t="shared" si="22"/>
        <v>Time_Run_H</v>
      </c>
      <c r="O560" s="20"/>
    </row>
    <row r="561" spans="1:18" x14ac:dyDescent="0.25">
      <c r="A561" s="2">
        <v>548</v>
      </c>
      <c r="B561" s="3" t="s">
        <v>1102</v>
      </c>
      <c r="C561" s="2" t="s">
        <v>1103</v>
      </c>
      <c r="D561" s="2" t="s">
        <v>24</v>
      </c>
      <c r="E561" s="3" t="s">
        <v>1349</v>
      </c>
      <c r="I561" s="7" t="str">
        <f t="shared" si="21"/>
        <v>Pump10</v>
      </c>
      <c r="J561" s="7" t="str">
        <f t="shared" si="22"/>
        <v>Total_Time_Run_M</v>
      </c>
      <c r="O561" s="20" t="s">
        <v>1418</v>
      </c>
    </row>
    <row r="562" spans="1:18" x14ac:dyDescent="0.25">
      <c r="A562" s="2">
        <v>549</v>
      </c>
      <c r="B562" s="3" t="s">
        <v>1104</v>
      </c>
      <c r="C562" s="2" t="s">
        <v>1105</v>
      </c>
      <c r="D562" s="2" t="s">
        <v>24</v>
      </c>
      <c r="E562" s="3" t="s">
        <v>1350</v>
      </c>
      <c r="I562" s="7" t="str">
        <f t="shared" si="21"/>
        <v>Pump10</v>
      </c>
      <c r="J562" s="7" t="str">
        <f t="shared" si="22"/>
        <v>Total_Time_Run_H</v>
      </c>
      <c r="N562" t="s">
        <v>1407</v>
      </c>
      <c r="O562" s="20"/>
    </row>
    <row r="563" spans="1:18" x14ac:dyDescent="0.25">
      <c r="A563" s="2">
        <v>550</v>
      </c>
      <c r="B563" s="3" t="s">
        <v>1106</v>
      </c>
      <c r="C563" s="2" t="s">
        <v>1107</v>
      </c>
      <c r="D563" s="2" t="s">
        <v>24</v>
      </c>
      <c r="E563" s="3" t="s">
        <v>1351</v>
      </c>
      <c r="I563" s="7" t="str">
        <f t="shared" si="21"/>
        <v>Pump10</v>
      </c>
      <c r="J563" s="7" t="str">
        <f t="shared" si="22"/>
        <v>NumberOfclose</v>
      </c>
    </row>
    <row r="564" spans="1:18" x14ac:dyDescent="0.25">
      <c r="A564" s="2">
        <v>551</v>
      </c>
      <c r="B564" s="3" t="s">
        <v>1108</v>
      </c>
      <c r="C564" s="2" t="s">
        <v>1109</v>
      </c>
      <c r="D564" s="2" t="s">
        <v>35</v>
      </c>
      <c r="E564" s="3" t="s">
        <v>1315</v>
      </c>
      <c r="I564" s="7" t="str">
        <f t="shared" si="21"/>
        <v>Meter0</v>
      </c>
      <c r="J564" s="7" t="str">
        <f t="shared" si="22"/>
        <v>U1</v>
      </c>
    </row>
    <row r="565" spans="1:18" x14ac:dyDescent="0.25">
      <c r="A565" s="2">
        <v>552</v>
      </c>
      <c r="B565" s="3" t="s">
        <v>1110</v>
      </c>
      <c r="C565" s="2" t="s">
        <v>1111</v>
      </c>
      <c r="D565" s="2" t="s">
        <v>35</v>
      </c>
      <c r="E565" s="3" t="s">
        <v>1316</v>
      </c>
      <c r="I565" s="7" t="str">
        <f t="shared" si="21"/>
        <v>Meter0</v>
      </c>
      <c r="J565" s="7" t="str">
        <f t="shared" si="22"/>
        <v>U2</v>
      </c>
    </row>
    <row r="566" spans="1:18" x14ac:dyDescent="0.25">
      <c r="A566" s="2">
        <v>553</v>
      </c>
      <c r="B566" s="3" t="s">
        <v>1112</v>
      </c>
      <c r="C566" s="2" t="s">
        <v>1113</v>
      </c>
      <c r="D566" s="2" t="s">
        <v>35</v>
      </c>
      <c r="E566" s="3" t="s">
        <v>1317</v>
      </c>
      <c r="I566" s="7" t="str">
        <f t="shared" si="21"/>
        <v>Meter0</v>
      </c>
      <c r="J566" s="7" t="str">
        <f t="shared" si="22"/>
        <v>U3</v>
      </c>
    </row>
    <row r="567" spans="1:18" x14ac:dyDescent="0.25">
      <c r="A567" s="2">
        <v>554</v>
      </c>
      <c r="B567" s="3" t="s">
        <v>1114</v>
      </c>
      <c r="C567" s="2" t="s">
        <v>1115</v>
      </c>
      <c r="D567" s="2" t="s">
        <v>35</v>
      </c>
      <c r="E567" s="3" t="s">
        <v>1318</v>
      </c>
      <c r="I567" s="7" t="str">
        <f t="shared" si="21"/>
        <v>Meter0</v>
      </c>
      <c r="J567" s="7" t="str">
        <f t="shared" si="22"/>
        <v>U_Ph</v>
      </c>
    </row>
    <row r="568" spans="1:18" x14ac:dyDescent="0.25">
      <c r="A568" s="2">
        <v>555</v>
      </c>
      <c r="B568" s="3" t="s">
        <v>1116</v>
      </c>
      <c r="C568" s="2" t="s">
        <v>1117</v>
      </c>
      <c r="D568" s="2" t="s">
        <v>35</v>
      </c>
      <c r="E568" s="3" t="s">
        <v>1319</v>
      </c>
      <c r="I568" s="7" t="str">
        <f t="shared" si="21"/>
        <v>Meter0</v>
      </c>
      <c r="J568" s="7" t="str">
        <f t="shared" si="22"/>
        <v>U12</v>
      </c>
      <c r="M568" t="s">
        <v>1319</v>
      </c>
      <c r="R568" t="s">
        <v>1319</v>
      </c>
    </row>
    <row r="569" spans="1:18" x14ac:dyDescent="0.25">
      <c r="A569" s="2">
        <v>556</v>
      </c>
      <c r="B569" s="3" t="s">
        <v>1118</v>
      </c>
      <c r="C569" s="2" t="s">
        <v>1119</v>
      </c>
      <c r="D569" s="2" t="s">
        <v>35</v>
      </c>
      <c r="E569" s="3" t="s">
        <v>1320</v>
      </c>
      <c r="I569" s="7" t="str">
        <f t="shared" si="21"/>
        <v>Meter0</v>
      </c>
      <c r="J569" s="7" t="str">
        <f t="shared" si="22"/>
        <v>U23</v>
      </c>
      <c r="M569" t="s">
        <v>1320</v>
      </c>
      <c r="R569" t="s">
        <v>1320</v>
      </c>
    </row>
    <row r="570" spans="1:18" x14ac:dyDescent="0.25">
      <c r="A570" s="2">
        <v>557</v>
      </c>
      <c r="B570" s="3" t="s">
        <v>1120</v>
      </c>
      <c r="C570" s="2" t="s">
        <v>1121</v>
      </c>
      <c r="D570" s="2" t="s">
        <v>35</v>
      </c>
      <c r="E570" s="3" t="s">
        <v>1321</v>
      </c>
      <c r="I570" s="7" t="str">
        <f t="shared" si="21"/>
        <v>Meter0</v>
      </c>
      <c r="J570" s="7" t="str">
        <f t="shared" si="22"/>
        <v>U31</v>
      </c>
      <c r="M570" t="s">
        <v>1321</v>
      </c>
      <c r="R570" t="s">
        <v>1321</v>
      </c>
    </row>
    <row r="571" spans="1:18" x14ac:dyDescent="0.25">
      <c r="A571" s="2">
        <v>558</v>
      </c>
      <c r="B571" s="3" t="s">
        <v>1122</v>
      </c>
      <c r="C571" s="2" t="s">
        <v>1123</v>
      </c>
      <c r="D571" s="2" t="s">
        <v>35</v>
      </c>
      <c r="E571" s="3" t="s">
        <v>1322</v>
      </c>
      <c r="I571" s="7" t="str">
        <f t="shared" si="21"/>
        <v>Meter0</v>
      </c>
      <c r="J571" s="7" t="str">
        <f t="shared" si="22"/>
        <v>Uline</v>
      </c>
    </row>
    <row r="572" spans="1:18" x14ac:dyDescent="0.25">
      <c r="A572" s="2">
        <v>559</v>
      </c>
      <c r="B572" s="3" t="s">
        <v>1124</v>
      </c>
      <c r="C572" s="2" t="s">
        <v>1125</v>
      </c>
      <c r="D572" s="2" t="s">
        <v>35</v>
      </c>
      <c r="E572" s="3" t="s">
        <v>1312</v>
      </c>
      <c r="I572" s="7" t="str">
        <f t="shared" si="21"/>
        <v>Meter0</v>
      </c>
      <c r="J572" s="7" t="str">
        <f t="shared" si="22"/>
        <v>I1</v>
      </c>
      <c r="R572" s="3" t="s">
        <v>1429</v>
      </c>
    </row>
    <row r="573" spans="1:18" x14ac:dyDescent="0.25">
      <c r="A573" s="2">
        <v>560</v>
      </c>
      <c r="B573" s="3" t="s">
        <v>1126</v>
      </c>
      <c r="C573" s="2" t="s">
        <v>1127</v>
      </c>
      <c r="D573" s="2" t="s">
        <v>35</v>
      </c>
      <c r="E573" s="3" t="s">
        <v>1313</v>
      </c>
      <c r="I573" s="7" t="str">
        <f t="shared" si="21"/>
        <v>Meter0</v>
      </c>
      <c r="J573" s="7" t="str">
        <f t="shared" si="22"/>
        <v>I2</v>
      </c>
      <c r="R573" s="3" t="s">
        <v>1430</v>
      </c>
    </row>
    <row r="574" spans="1:18" x14ac:dyDescent="0.25">
      <c r="A574" s="2">
        <v>561</v>
      </c>
      <c r="B574" s="3" t="s">
        <v>1128</v>
      </c>
      <c r="C574" s="2" t="s">
        <v>1129</v>
      </c>
      <c r="D574" s="2" t="s">
        <v>35</v>
      </c>
      <c r="E574" s="3" t="s">
        <v>1314</v>
      </c>
      <c r="I574" s="7" t="str">
        <f t="shared" si="21"/>
        <v>Meter0</v>
      </c>
      <c r="J574" s="7" t="str">
        <f t="shared" si="22"/>
        <v>I3</v>
      </c>
      <c r="R574" s="3" t="s">
        <v>1431</v>
      </c>
    </row>
    <row r="575" spans="1:18" x14ac:dyDescent="0.25">
      <c r="A575" s="2">
        <v>562</v>
      </c>
      <c r="B575" s="3" t="s">
        <v>1130</v>
      </c>
      <c r="C575" s="2" t="s">
        <v>1131</v>
      </c>
      <c r="D575" s="2" t="s">
        <v>35</v>
      </c>
      <c r="E575" s="3" t="s">
        <v>1311</v>
      </c>
      <c r="I575" s="7" t="str">
        <f t="shared" si="21"/>
        <v>Meter0</v>
      </c>
      <c r="J575" s="7" t="str">
        <f t="shared" si="22"/>
        <v>I_ph</v>
      </c>
      <c r="M575" t="s">
        <v>1404</v>
      </c>
      <c r="R575" t="s">
        <v>1433</v>
      </c>
    </row>
    <row r="576" spans="1:18" x14ac:dyDescent="0.25">
      <c r="A576" s="2">
        <v>563</v>
      </c>
      <c r="B576" s="3" t="s">
        <v>1132</v>
      </c>
      <c r="C576" s="2" t="s">
        <v>1133</v>
      </c>
      <c r="D576" s="2" t="s">
        <v>35</v>
      </c>
      <c r="E576" s="3" t="s">
        <v>1323</v>
      </c>
      <c r="I576" s="7" t="str">
        <f t="shared" si="21"/>
        <v>Meter0</v>
      </c>
      <c r="J576" s="7" t="str">
        <f t="shared" si="22"/>
        <v>kw1</v>
      </c>
    </row>
    <row r="577" spans="1:18" x14ac:dyDescent="0.25">
      <c r="A577" s="2">
        <v>564</v>
      </c>
      <c r="B577" s="3" t="s">
        <v>1134</v>
      </c>
      <c r="C577" s="2" t="s">
        <v>1135</v>
      </c>
      <c r="D577" s="2" t="s">
        <v>35</v>
      </c>
      <c r="E577" s="3" t="s">
        <v>1324</v>
      </c>
      <c r="I577" s="7" t="str">
        <f t="shared" si="21"/>
        <v>Meter0</v>
      </c>
      <c r="J577" s="7" t="str">
        <f t="shared" si="22"/>
        <v>kw2</v>
      </c>
    </row>
    <row r="578" spans="1:18" x14ac:dyDescent="0.25">
      <c r="A578" s="2">
        <v>565</v>
      </c>
      <c r="B578" s="3" t="s">
        <v>1136</v>
      </c>
      <c r="C578" s="2" t="s">
        <v>1137</v>
      </c>
      <c r="D578" s="2" t="s">
        <v>35</v>
      </c>
      <c r="E578" s="3" t="s">
        <v>1325</v>
      </c>
      <c r="I578" s="7" t="str">
        <f t="shared" si="21"/>
        <v>Meter0</v>
      </c>
      <c r="J578" s="7" t="str">
        <f t="shared" si="22"/>
        <v>kw3</v>
      </c>
    </row>
    <row r="579" spans="1:18" x14ac:dyDescent="0.25">
      <c r="A579" s="2">
        <v>566</v>
      </c>
      <c r="B579" s="3" t="s">
        <v>1138</v>
      </c>
      <c r="C579" s="2" t="s">
        <v>1139</v>
      </c>
      <c r="D579" s="2" t="s">
        <v>35</v>
      </c>
      <c r="E579" s="3" t="s">
        <v>1326</v>
      </c>
      <c r="I579" s="7" t="str">
        <f t="shared" si="21"/>
        <v>Meter0</v>
      </c>
      <c r="J579" s="7" t="str">
        <f t="shared" si="22"/>
        <v>kva1</v>
      </c>
    </row>
    <row r="580" spans="1:18" x14ac:dyDescent="0.25">
      <c r="A580" s="2">
        <v>567</v>
      </c>
      <c r="B580" s="3" t="s">
        <v>1140</v>
      </c>
      <c r="C580" s="2" t="s">
        <v>1141</v>
      </c>
      <c r="D580" s="2" t="s">
        <v>35</v>
      </c>
      <c r="E580" s="3" t="s">
        <v>1327</v>
      </c>
      <c r="I580" s="7" t="str">
        <f t="shared" si="21"/>
        <v>Meter0</v>
      </c>
      <c r="J580" s="7" t="str">
        <f t="shared" si="22"/>
        <v>kva2</v>
      </c>
    </row>
    <row r="581" spans="1:18" x14ac:dyDescent="0.25">
      <c r="A581" s="2">
        <v>568</v>
      </c>
      <c r="B581" s="3" t="s">
        <v>1142</v>
      </c>
      <c r="C581" s="2" t="s">
        <v>1143</v>
      </c>
      <c r="D581" s="2" t="s">
        <v>35</v>
      </c>
      <c r="E581" s="3" t="s">
        <v>1328</v>
      </c>
      <c r="I581" s="7" t="str">
        <f t="shared" si="21"/>
        <v>Meter0</v>
      </c>
      <c r="J581" s="7" t="str">
        <f t="shared" si="22"/>
        <v>kva3</v>
      </c>
    </row>
    <row r="582" spans="1:18" x14ac:dyDescent="0.25">
      <c r="A582" s="2">
        <v>569</v>
      </c>
      <c r="B582" s="3" t="s">
        <v>1144</v>
      </c>
      <c r="C582" s="2" t="s">
        <v>1145</v>
      </c>
      <c r="D582" s="2" t="s">
        <v>35</v>
      </c>
      <c r="E582" s="3" t="s">
        <v>1329</v>
      </c>
      <c r="I582" s="7" t="str">
        <f t="shared" si="21"/>
        <v>Meter0</v>
      </c>
      <c r="J582" s="7" t="str">
        <f t="shared" si="22"/>
        <v>kvar1</v>
      </c>
    </row>
    <row r="583" spans="1:18" x14ac:dyDescent="0.25">
      <c r="A583" s="2">
        <v>570</v>
      </c>
      <c r="B583" s="3" t="s">
        <v>1146</v>
      </c>
      <c r="C583" s="2" t="s">
        <v>1147</v>
      </c>
      <c r="D583" s="2" t="s">
        <v>35</v>
      </c>
      <c r="E583" s="3" t="s">
        <v>1330</v>
      </c>
      <c r="I583" s="7" t="str">
        <f t="shared" si="21"/>
        <v>Meter0</v>
      </c>
      <c r="J583" s="7" t="str">
        <f t="shared" si="22"/>
        <v>kvar2</v>
      </c>
    </row>
    <row r="584" spans="1:18" x14ac:dyDescent="0.25">
      <c r="A584" s="2">
        <v>571</v>
      </c>
      <c r="B584" s="3" t="s">
        <v>1148</v>
      </c>
      <c r="C584" s="2" t="s">
        <v>1149</v>
      </c>
      <c r="D584" s="2" t="s">
        <v>35</v>
      </c>
      <c r="E584" s="3" t="s">
        <v>1331</v>
      </c>
      <c r="I584" s="7" t="str">
        <f t="shared" si="21"/>
        <v>Meter0</v>
      </c>
      <c r="J584" s="7" t="str">
        <f t="shared" si="22"/>
        <v>kvar3</v>
      </c>
    </row>
    <row r="585" spans="1:18" x14ac:dyDescent="0.25">
      <c r="A585" s="2">
        <v>572</v>
      </c>
      <c r="B585" s="3" t="s">
        <v>1150</v>
      </c>
      <c r="C585" s="2" t="s">
        <v>1151</v>
      </c>
      <c r="D585" s="2" t="s">
        <v>35</v>
      </c>
      <c r="E585" s="3" t="s">
        <v>1332</v>
      </c>
      <c r="I585" s="7" t="str">
        <f t="shared" si="21"/>
        <v>Meter0</v>
      </c>
      <c r="J585" s="7" t="str">
        <f t="shared" si="22"/>
        <v>total_kw</v>
      </c>
      <c r="M585" t="s">
        <v>1406</v>
      </c>
      <c r="R585" t="s">
        <v>1406</v>
      </c>
    </row>
    <row r="586" spans="1:18" x14ac:dyDescent="0.25">
      <c r="A586" s="2">
        <v>573</v>
      </c>
      <c r="B586" s="3" t="s">
        <v>1152</v>
      </c>
      <c r="C586" s="2" t="s">
        <v>1153</v>
      </c>
      <c r="D586" s="2" t="s">
        <v>35</v>
      </c>
      <c r="E586" s="3" t="s">
        <v>1333</v>
      </c>
      <c r="I586" s="7" t="str">
        <f t="shared" si="21"/>
        <v>Meter0</v>
      </c>
      <c r="J586" s="7" t="str">
        <f t="shared" si="22"/>
        <v>total_kva</v>
      </c>
    </row>
    <row r="587" spans="1:18" x14ac:dyDescent="0.25">
      <c r="A587" s="2">
        <v>574</v>
      </c>
      <c r="B587" s="3" t="s">
        <v>1154</v>
      </c>
      <c r="C587" s="2" t="s">
        <v>1155</v>
      </c>
      <c r="D587" s="2" t="s">
        <v>35</v>
      </c>
      <c r="E587" s="3" t="s">
        <v>1334</v>
      </c>
      <c r="I587" s="7" t="str">
        <f t="shared" si="21"/>
        <v>Meter0</v>
      </c>
      <c r="J587" s="7" t="str">
        <f t="shared" si="22"/>
        <v>total_kvar</v>
      </c>
    </row>
    <row r="588" spans="1:18" x14ac:dyDescent="0.25">
      <c r="A588" s="2">
        <v>575</v>
      </c>
      <c r="B588" s="3" t="s">
        <v>1156</v>
      </c>
      <c r="C588" s="2" t="s">
        <v>1157</v>
      </c>
      <c r="D588" s="2" t="s">
        <v>35</v>
      </c>
      <c r="E588" s="3" t="s">
        <v>1335</v>
      </c>
      <c r="I588" s="7" t="str">
        <f t="shared" si="21"/>
        <v>Meter0</v>
      </c>
      <c r="J588" s="7" t="str">
        <f t="shared" si="22"/>
        <v>PF1</v>
      </c>
    </row>
    <row r="589" spans="1:18" x14ac:dyDescent="0.25">
      <c r="A589" s="2">
        <v>576</v>
      </c>
      <c r="B589" s="3" t="s">
        <v>1158</v>
      </c>
      <c r="C589" s="2" t="s">
        <v>1159</v>
      </c>
      <c r="D589" s="2" t="s">
        <v>35</v>
      </c>
      <c r="E589" s="3" t="s">
        <v>1336</v>
      </c>
      <c r="I589" s="7" t="str">
        <f t="shared" si="21"/>
        <v>Meter0</v>
      </c>
      <c r="J589" s="7" t="str">
        <f t="shared" si="22"/>
        <v>PF2</v>
      </c>
    </row>
    <row r="590" spans="1:18" x14ac:dyDescent="0.25">
      <c r="A590" s="2">
        <v>577</v>
      </c>
      <c r="B590" s="3" t="s">
        <v>1160</v>
      </c>
      <c r="C590" s="2" t="s">
        <v>1161</v>
      </c>
      <c r="D590" s="2" t="s">
        <v>35</v>
      </c>
      <c r="E590" s="3" t="s">
        <v>1337</v>
      </c>
      <c r="I590" s="7" t="str">
        <f t="shared" si="21"/>
        <v>Meter0</v>
      </c>
      <c r="J590" s="7" t="str">
        <f t="shared" si="22"/>
        <v>PF3</v>
      </c>
    </row>
    <row r="591" spans="1:18" x14ac:dyDescent="0.25">
      <c r="A591" s="2">
        <v>578</v>
      </c>
      <c r="B591" s="3" t="s">
        <v>1162</v>
      </c>
      <c r="C591" s="2" t="s">
        <v>1163</v>
      </c>
      <c r="D591" s="2" t="s">
        <v>35</v>
      </c>
      <c r="E591" s="3" t="s">
        <v>1338</v>
      </c>
      <c r="I591" s="7" t="str">
        <f t="shared" ref="I591:I657" si="23">LEFT(B591, SEARCH("_",B591 ) - 1)</f>
        <v>Meter0</v>
      </c>
      <c r="J591" s="7" t="str">
        <f t="shared" si="22"/>
        <v>PF</v>
      </c>
      <c r="M591" t="s">
        <v>1405</v>
      </c>
      <c r="R591" t="s">
        <v>1405</v>
      </c>
    </row>
    <row r="592" spans="1:18" x14ac:dyDescent="0.25">
      <c r="A592" s="2">
        <v>579</v>
      </c>
      <c r="B592" s="3" t="s">
        <v>1164</v>
      </c>
      <c r="C592" s="2" t="s">
        <v>1165</v>
      </c>
      <c r="D592" s="2" t="s">
        <v>35</v>
      </c>
      <c r="E592" s="3" t="s">
        <v>1339</v>
      </c>
      <c r="I592" s="7" t="str">
        <f t="shared" si="23"/>
        <v>Meter0</v>
      </c>
      <c r="J592" s="7" t="str">
        <f t="shared" si="22"/>
        <v>freq</v>
      </c>
      <c r="M592" t="s">
        <v>1339</v>
      </c>
      <c r="R592" t="s">
        <v>1339</v>
      </c>
    </row>
    <row r="593" spans="1:18" x14ac:dyDescent="0.25">
      <c r="A593" s="2">
        <v>580</v>
      </c>
      <c r="B593" s="3" t="s">
        <v>1166</v>
      </c>
      <c r="C593" s="2" t="s">
        <v>1167</v>
      </c>
      <c r="D593" s="2" t="s">
        <v>35</v>
      </c>
      <c r="E593" s="3" t="s">
        <v>1340</v>
      </c>
      <c r="I593" s="7" t="str">
        <f t="shared" si="23"/>
        <v>Meter0</v>
      </c>
      <c r="J593" s="7" t="str">
        <f t="shared" si="22"/>
        <v>kwh</v>
      </c>
      <c r="M593" t="s">
        <v>1340</v>
      </c>
      <c r="R593" t="s">
        <v>1340</v>
      </c>
    </row>
    <row r="594" spans="1:18" x14ac:dyDescent="0.25">
      <c r="A594" s="2">
        <v>581</v>
      </c>
      <c r="B594" s="3" t="s">
        <v>1168</v>
      </c>
      <c r="C594" s="2" t="s">
        <v>1169</v>
      </c>
      <c r="D594" s="2" t="s">
        <v>35</v>
      </c>
      <c r="E594" s="3" t="s">
        <v>1341</v>
      </c>
      <c r="I594" s="7" t="str">
        <f t="shared" si="23"/>
        <v>Meter0</v>
      </c>
      <c r="J594" s="7" t="str">
        <f t="shared" si="22"/>
        <v>kvah</v>
      </c>
    </row>
    <row r="595" spans="1:18" x14ac:dyDescent="0.25">
      <c r="A595" s="2">
        <v>582</v>
      </c>
      <c r="B595" s="3" t="s">
        <v>1170</v>
      </c>
      <c r="C595" s="2" t="s">
        <v>1171</v>
      </c>
      <c r="D595" s="2" t="s">
        <v>35</v>
      </c>
      <c r="E595" s="3" t="s">
        <v>1342</v>
      </c>
      <c r="I595" s="7" t="str">
        <f t="shared" si="23"/>
        <v>Meter0</v>
      </c>
      <c r="J595" s="7" t="str">
        <f t="shared" si="22"/>
        <v>kvarh</v>
      </c>
    </row>
    <row r="596" spans="1:18" x14ac:dyDescent="0.25">
      <c r="A596" s="2">
        <v>583</v>
      </c>
      <c r="B596" s="3" t="s">
        <v>1409</v>
      </c>
      <c r="C596" s="2" t="s">
        <v>1173</v>
      </c>
      <c r="D596" s="2" t="s">
        <v>7</v>
      </c>
      <c r="E596" s="3" t="s">
        <v>1359</v>
      </c>
      <c r="I596" s="7" t="str">
        <f>LEFT(B596, SEARCH("_",B596 ) - 1)</f>
        <v>PrimingPump1</v>
      </c>
      <c r="J596" s="7" t="str">
        <f t="shared" ref="J596:J629" si="24">RIGHT(B596, LEN(B596)-SEARCH("_",B596 ))</f>
        <v>FB_Run</v>
      </c>
      <c r="M596" s="9"/>
    </row>
    <row r="597" spans="1:18" x14ac:dyDescent="0.25">
      <c r="A597" s="2">
        <v>584</v>
      </c>
      <c r="B597" s="3" t="s">
        <v>1410</v>
      </c>
      <c r="C597" s="2" t="s">
        <v>1175</v>
      </c>
      <c r="D597" s="2" t="s">
        <v>7</v>
      </c>
      <c r="E597" s="3" t="s">
        <v>1360</v>
      </c>
      <c r="I597" s="7" t="str">
        <f t="shared" si="23"/>
        <v>PrimingPump1</v>
      </c>
      <c r="J597" s="7" t="str">
        <f t="shared" si="24"/>
        <v>FB_Stop</v>
      </c>
      <c r="M597" s="10"/>
    </row>
    <row r="598" spans="1:18" x14ac:dyDescent="0.25">
      <c r="A598" s="2">
        <v>585</v>
      </c>
      <c r="B598" s="3" t="s">
        <v>1411</v>
      </c>
      <c r="C598" s="2" t="s">
        <v>1177</v>
      </c>
      <c r="D598" s="2" t="s">
        <v>7</v>
      </c>
      <c r="E598" s="3" t="s">
        <v>1361</v>
      </c>
      <c r="I598" s="7" t="str">
        <f t="shared" si="23"/>
        <v>PrimingPump1</v>
      </c>
      <c r="J598" s="7" t="str">
        <f t="shared" si="24"/>
        <v>FB_Fault</v>
      </c>
      <c r="M598" s="14"/>
    </row>
    <row r="599" spans="1:18" x14ac:dyDescent="0.25">
      <c r="A599" s="2"/>
      <c r="B599" s="3" t="s">
        <v>1412</v>
      </c>
      <c r="C599" s="2"/>
      <c r="D599" s="2"/>
      <c r="E599" s="3"/>
      <c r="I599" s="7" t="str">
        <f t="shared" si="23"/>
        <v>PrimingPump1</v>
      </c>
      <c r="J599" s="7" t="str">
        <f t="shared" si="24"/>
        <v>FB_maintenance</v>
      </c>
      <c r="M599" s="13"/>
    </row>
    <row r="600" spans="1:18" x14ac:dyDescent="0.25">
      <c r="A600" s="2">
        <v>586</v>
      </c>
      <c r="B600" s="3" t="s">
        <v>1413</v>
      </c>
      <c r="C600" s="2" t="s">
        <v>1179</v>
      </c>
      <c r="D600" s="2" t="s">
        <v>7</v>
      </c>
      <c r="E600" s="3" t="s">
        <v>1362</v>
      </c>
      <c r="I600" s="7" t="str">
        <f t="shared" si="23"/>
        <v>PrimingPump2</v>
      </c>
      <c r="J600" s="7" t="str">
        <f t="shared" si="24"/>
        <v>FB_Run</v>
      </c>
      <c r="M600" s="9"/>
    </row>
    <row r="601" spans="1:18" x14ac:dyDescent="0.25">
      <c r="A601" s="2">
        <v>587</v>
      </c>
      <c r="B601" s="3" t="s">
        <v>1414</v>
      </c>
      <c r="C601" s="2" t="s">
        <v>1181</v>
      </c>
      <c r="D601" s="2" t="s">
        <v>7</v>
      </c>
      <c r="E601" s="3" t="s">
        <v>1363</v>
      </c>
      <c r="I601" s="7" t="str">
        <f t="shared" si="23"/>
        <v>PrimingPump2</v>
      </c>
      <c r="J601" s="7" t="str">
        <f t="shared" si="24"/>
        <v>FB_Stop</v>
      </c>
      <c r="M601" s="10"/>
    </row>
    <row r="602" spans="1:18" x14ac:dyDescent="0.25">
      <c r="A602" s="2">
        <v>588</v>
      </c>
      <c r="B602" s="3" t="s">
        <v>1415</v>
      </c>
      <c r="C602" s="2" t="s">
        <v>1183</v>
      </c>
      <c r="D602" s="2" t="s">
        <v>7</v>
      </c>
      <c r="E602" s="3" t="s">
        <v>1364</v>
      </c>
      <c r="I602" s="7" t="str">
        <f t="shared" si="23"/>
        <v>PrimingPump2</v>
      </c>
      <c r="J602" s="7" t="str">
        <f t="shared" si="24"/>
        <v>FB_Fault</v>
      </c>
      <c r="M602" s="14"/>
    </row>
    <row r="603" spans="1:18" x14ac:dyDescent="0.25">
      <c r="A603" s="2"/>
      <c r="B603" s="3" t="s">
        <v>1416</v>
      </c>
      <c r="C603" s="2"/>
      <c r="D603" s="2"/>
      <c r="E603" s="3"/>
      <c r="I603" s="7" t="str">
        <f t="shared" si="23"/>
        <v>PrimingPump2</v>
      </c>
      <c r="J603" s="7" t="str">
        <f t="shared" si="24"/>
        <v>FB_maintenance</v>
      </c>
      <c r="M603" s="13"/>
    </row>
    <row r="604" spans="1:18" x14ac:dyDescent="0.25">
      <c r="A604" s="2">
        <v>589</v>
      </c>
      <c r="B604" s="3" t="s">
        <v>1184</v>
      </c>
      <c r="C604" s="2" t="s">
        <v>1185</v>
      </c>
      <c r="D604" s="2" t="s">
        <v>35</v>
      </c>
      <c r="E604" s="3" t="s">
        <v>1365</v>
      </c>
      <c r="I604" s="7" t="str">
        <f t="shared" si="23"/>
        <v>Level</v>
      </c>
      <c r="J604" s="7" t="str">
        <f t="shared" si="24"/>
        <v>River</v>
      </c>
      <c r="N604" t="s">
        <v>1408</v>
      </c>
      <c r="O604" t="s">
        <v>1365</v>
      </c>
      <c r="R604" t="s">
        <v>1365</v>
      </c>
    </row>
    <row r="605" spans="1:18" x14ac:dyDescent="0.25">
      <c r="A605" s="2">
        <v>590</v>
      </c>
      <c r="B605" s="3" t="s">
        <v>1186</v>
      </c>
      <c r="C605" s="2" t="s">
        <v>1187</v>
      </c>
      <c r="D605" s="2" t="s">
        <v>35</v>
      </c>
      <c r="E605" s="3" t="s">
        <v>1366</v>
      </c>
      <c r="I605" s="7" t="str">
        <f t="shared" si="23"/>
        <v>Level</v>
      </c>
      <c r="J605" s="7" t="str">
        <f t="shared" si="24"/>
        <v>Discharge1</v>
      </c>
      <c r="O605" t="s">
        <v>1432</v>
      </c>
      <c r="R605" t="s">
        <v>1432</v>
      </c>
    </row>
    <row r="606" spans="1:18" x14ac:dyDescent="0.25">
      <c r="A606" s="2">
        <v>600</v>
      </c>
      <c r="B606" s="3" t="s">
        <v>1206</v>
      </c>
      <c r="C606" s="2" t="s">
        <v>1207</v>
      </c>
      <c r="D606" s="2" t="s">
        <v>24</v>
      </c>
      <c r="E606" s="3" t="s">
        <v>1376</v>
      </c>
      <c r="I606" s="7" t="str">
        <f t="shared" si="23"/>
        <v>Pump1</v>
      </c>
      <c r="J606" s="7" t="str">
        <f t="shared" si="24"/>
        <v>Set_tempA</v>
      </c>
      <c r="O606" t="s">
        <v>1419</v>
      </c>
      <c r="Q606" t="s">
        <v>1419</v>
      </c>
    </row>
    <row r="607" spans="1:18" x14ac:dyDescent="0.25">
      <c r="A607" s="2">
        <v>601</v>
      </c>
      <c r="B607" s="3" t="s">
        <v>1208</v>
      </c>
      <c r="C607" s="2" t="s">
        <v>1209</v>
      </c>
      <c r="D607" s="2" t="s">
        <v>24</v>
      </c>
      <c r="E607" s="3" t="s">
        <v>1377</v>
      </c>
      <c r="I607" s="7" t="str">
        <f t="shared" si="23"/>
        <v>Pump1</v>
      </c>
      <c r="J607" s="7" t="str">
        <f t="shared" si="24"/>
        <v>Set_tempB</v>
      </c>
      <c r="O607" t="s">
        <v>1420</v>
      </c>
      <c r="Q607" t="s">
        <v>1420</v>
      </c>
    </row>
    <row r="608" spans="1:18" x14ac:dyDescent="0.25">
      <c r="A608" s="2">
        <v>602</v>
      </c>
      <c r="B608" s="3" t="s">
        <v>1210</v>
      </c>
      <c r="C608" s="2" t="s">
        <v>1211</v>
      </c>
      <c r="D608" s="2" t="s">
        <v>24</v>
      </c>
      <c r="E608" s="3" t="s">
        <v>1378</v>
      </c>
      <c r="I608" s="7" t="str">
        <f t="shared" si="23"/>
        <v>Pump1</v>
      </c>
      <c r="J608" s="7" t="str">
        <f t="shared" si="24"/>
        <v>Set_tempC</v>
      </c>
      <c r="O608" t="s">
        <v>1421</v>
      </c>
      <c r="Q608" t="s">
        <v>1421</v>
      </c>
    </row>
    <row r="609" spans="1:17" x14ac:dyDescent="0.25">
      <c r="A609" s="2">
        <v>603</v>
      </c>
      <c r="B609" s="3" t="s">
        <v>1212</v>
      </c>
      <c r="C609" s="2" t="s">
        <v>1213</v>
      </c>
      <c r="D609" s="2" t="s">
        <v>24</v>
      </c>
      <c r="E609" s="3" t="s">
        <v>1379</v>
      </c>
      <c r="I609" s="7" t="str">
        <f t="shared" si="23"/>
        <v>Pump1</v>
      </c>
      <c r="J609" s="7" t="str">
        <f t="shared" si="24"/>
        <v>Set_tempDE</v>
      </c>
      <c r="O609" t="s">
        <v>1422</v>
      </c>
      <c r="Q609" t="s">
        <v>1422</v>
      </c>
    </row>
    <row r="610" spans="1:17" x14ac:dyDescent="0.25">
      <c r="A610" s="2">
        <v>604</v>
      </c>
      <c r="B610" s="3" t="s">
        <v>1214</v>
      </c>
      <c r="C610" s="2" t="s">
        <v>1215</v>
      </c>
      <c r="D610" s="2" t="s">
        <v>24</v>
      </c>
      <c r="E610" s="3" t="s">
        <v>1380</v>
      </c>
      <c r="I610" s="7" t="str">
        <f t="shared" si="23"/>
        <v>Pump1</v>
      </c>
      <c r="J610" s="7" t="str">
        <f t="shared" si="24"/>
        <v>Set_tempNDE</v>
      </c>
      <c r="O610" t="s">
        <v>1423</v>
      </c>
      <c r="Q610" t="s">
        <v>1423</v>
      </c>
    </row>
    <row r="611" spans="1:17" x14ac:dyDescent="0.25">
      <c r="A611" s="2">
        <v>605</v>
      </c>
      <c r="B611" s="3" t="s">
        <v>1216</v>
      </c>
      <c r="C611" s="2" t="s">
        <v>1217</v>
      </c>
      <c r="D611" s="2" t="s">
        <v>24</v>
      </c>
      <c r="E611" s="3" t="s">
        <v>1376</v>
      </c>
      <c r="I611" s="7" t="str">
        <f t="shared" si="23"/>
        <v>Pump2</v>
      </c>
      <c r="J611" s="7" t="str">
        <f t="shared" si="24"/>
        <v>Set_tempA</v>
      </c>
      <c r="O611" t="s">
        <v>1419</v>
      </c>
      <c r="Q611" t="s">
        <v>1419</v>
      </c>
    </row>
    <row r="612" spans="1:17" x14ac:dyDescent="0.25">
      <c r="A612" s="2">
        <v>606</v>
      </c>
      <c r="B612" s="3" t="s">
        <v>1218</v>
      </c>
      <c r="C612" s="2" t="s">
        <v>1219</v>
      </c>
      <c r="D612" s="2" t="s">
        <v>24</v>
      </c>
      <c r="E612" s="3" t="s">
        <v>1377</v>
      </c>
      <c r="I612" s="7" t="str">
        <f t="shared" si="23"/>
        <v>Pump2</v>
      </c>
      <c r="J612" s="7" t="str">
        <f t="shared" si="24"/>
        <v>Set_tempB</v>
      </c>
      <c r="O612" t="s">
        <v>1420</v>
      </c>
      <c r="Q612" t="s">
        <v>1420</v>
      </c>
    </row>
    <row r="613" spans="1:17" x14ac:dyDescent="0.25">
      <c r="A613" s="2">
        <v>607</v>
      </c>
      <c r="B613" s="3" t="s">
        <v>1220</v>
      </c>
      <c r="C613" s="2" t="s">
        <v>1221</v>
      </c>
      <c r="D613" s="2" t="s">
        <v>24</v>
      </c>
      <c r="E613" s="3" t="s">
        <v>1378</v>
      </c>
      <c r="I613" s="7" t="str">
        <f t="shared" si="23"/>
        <v>Pump2</v>
      </c>
      <c r="J613" s="7" t="str">
        <f t="shared" si="24"/>
        <v>Set_tempC</v>
      </c>
      <c r="O613" t="s">
        <v>1421</v>
      </c>
      <c r="Q613" t="s">
        <v>1421</v>
      </c>
    </row>
    <row r="614" spans="1:17" x14ac:dyDescent="0.25">
      <c r="A614" s="2">
        <v>608</v>
      </c>
      <c r="B614" s="3" t="s">
        <v>1222</v>
      </c>
      <c r="C614" s="2" t="s">
        <v>1223</v>
      </c>
      <c r="D614" s="2" t="s">
        <v>24</v>
      </c>
      <c r="E614" s="3" t="s">
        <v>1379</v>
      </c>
      <c r="I614" s="7" t="str">
        <f t="shared" si="23"/>
        <v>Pump2</v>
      </c>
      <c r="J614" s="7" t="str">
        <f t="shared" si="24"/>
        <v>Set_tempDE</v>
      </c>
      <c r="O614" t="s">
        <v>1422</v>
      </c>
      <c r="Q614" t="s">
        <v>1422</v>
      </c>
    </row>
    <row r="615" spans="1:17" x14ac:dyDescent="0.25">
      <c r="A615" s="2">
        <v>609</v>
      </c>
      <c r="B615" s="3" t="s">
        <v>1224</v>
      </c>
      <c r="C615" s="2" t="s">
        <v>1225</v>
      </c>
      <c r="D615" s="2" t="s">
        <v>24</v>
      </c>
      <c r="E615" s="3" t="s">
        <v>1380</v>
      </c>
      <c r="I615" s="7" t="str">
        <f t="shared" si="23"/>
        <v>Pump2</v>
      </c>
      <c r="J615" s="7" t="str">
        <f t="shared" si="24"/>
        <v>Set_tempNDE</v>
      </c>
      <c r="O615" t="s">
        <v>1423</v>
      </c>
      <c r="Q615" t="s">
        <v>1423</v>
      </c>
    </row>
    <row r="616" spans="1:17" x14ac:dyDescent="0.25">
      <c r="A616" s="2">
        <v>610</v>
      </c>
      <c r="B616" s="3" t="s">
        <v>1226</v>
      </c>
      <c r="C616" s="2" t="s">
        <v>1227</v>
      </c>
      <c r="D616" s="2" t="s">
        <v>24</v>
      </c>
      <c r="E616" s="3" t="s">
        <v>1376</v>
      </c>
      <c r="I616" s="7" t="str">
        <f t="shared" si="23"/>
        <v>Pump3</v>
      </c>
      <c r="J616" s="7" t="str">
        <f t="shared" si="24"/>
        <v>Set_tempA</v>
      </c>
      <c r="O616" t="s">
        <v>1419</v>
      </c>
      <c r="Q616" t="s">
        <v>1419</v>
      </c>
    </row>
    <row r="617" spans="1:17" x14ac:dyDescent="0.25">
      <c r="A617" s="2">
        <v>611</v>
      </c>
      <c r="B617" s="3" t="s">
        <v>1228</v>
      </c>
      <c r="C617" s="2" t="s">
        <v>1229</v>
      </c>
      <c r="D617" s="2" t="s">
        <v>24</v>
      </c>
      <c r="E617" s="3" t="s">
        <v>1377</v>
      </c>
      <c r="I617" s="7" t="str">
        <f t="shared" si="23"/>
        <v>Pump3</v>
      </c>
      <c r="J617" s="7" t="str">
        <f t="shared" si="24"/>
        <v>Set_tempB</v>
      </c>
      <c r="O617" t="s">
        <v>1420</v>
      </c>
      <c r="Q617" t="s">
        <v>1420</v>
      </c>
    </row>
    <row r="618" spans="1:17" x14ac:dyDescent="0.25">
      <c r="A618" s="2">
        <v>612</v>
      </c>
      <c r="B618" s="3" t="s">
        <v>1230</v>
      </c>
      <c r="C618" s="2" t="s">
        <v>1231</v>
      </c>
      <c r="D618" s="2" t="s">
        <v>24</v>
      </c>
      <c r="E618" s="3" t="s">
        <v>1378</v>
      </c>
      <c r="I618" s="7" t="str">
        <f t="shared" si="23"/>
        <v>Pump3</v>
      </c>
      <c r="J618" s="7" t="str">
        <f t="shared" si="24"/>
        <v>Set_tempC</v>
      </c>
      <c r="O618" t="s">
        <v>1421</v>
      </c>
      <c r="Q618" t="s">
        <v>1421</v>
      </c>
    </row>
    <row r="619" spans="1:17" x14ac:dyDescent="0.25">
      <c r="A619" s="2">
        <v>613</v>
      </c>
      <c r="B619" s="3" t="s">
        <v>1232</v>
      </c>
      <c r="C619" s="2" t="s">
        <v>1233</v>
      </c>
      <c r="D619" s="2" t="s">
        <v>24</v>
      </c>
      <c r="E619" s="3" t="s">
        <v>1379</v>
      </c>
      <c r="I619" s="7" t="str">
        <f t="shared" si="23"/>
        <v>Pump3</v>
      </c>
      <c r="J619" s="7" t="str">
        <f t="shared" si="24"/>
        <v>Set_tempDE</v>
      </c>
      <c r="O619" t="s">
        <v>1422</v>
      </c>
      <c r="Q619" t="s">
        <v>1422</v>
      </c>
    </row>
    <row r="620" spans="1:17" x14ac:dyDescent="0.25">
      <c r="A620" s="2">
        <v>614</v>
      </c>
      <c r="B620" s="3" t="s">
        <v>1234</v>
      </c>
      <c r="C620" s="2" t="s">
        <v>1235</v>
      </c>
      <c r="D620" s="2" t="s">
        <v>24</v>
      </c>
      <c r="E620" s="3" t="s">
        <v>1380</v>
      </c>
      <c r="I620" s="7" t="str">
        <f t="shared" si="23"/>
        <v>Pump3</v>
      </c>
      <c r="J620" s="7" t="str">
        <f t="shared" si="24"/>
        <v>Set_tempNDE</v>
      </c>
      <c r="O620" t="s">
        <v>1423</v>
      </c>
      <c r="Q620" t="s">
        <v>1423</v>
      </c>
    </row>
    <row r="621" spans="1:17" x14ac:dyDescent="0.25">
      <c r="A621" s="2">
        <v>615</v>
      </c>
      <c r="B621" s="3" t="s">
        <v>1236</v>
      </c>
      <c r="C621" s="2" t="s">
        <v>1237</v>
      </c>
      <c r="D621" s="2" t="s">
        <v>24</v>
      </c>
      <c r="E621" s="3" t="s">
        <v>1376</v>
      </c>
      <c r="I621" s="7" t="str">
        <f t="shared" si="23"/>
        <v>Pump4</v>
      </c>
      <c r="J621" s="7" t="str">
        <f t="shared" si="24"/>
        <v>Set_tempA</v>
      </c>
      <c r="O621" t="s">
        <v>1419</v>
      </c>
      <c r="Q621" t="s">
        <v>1419</v>
      </c>
    </row>
    <row r="622" spans="1:17" x14ac:dyDescent="0.25">
      <c r="A622" s="2">
        <v>616</v>
      </c>
      <c r="B622" s="3" t="s">
        <v>1238</v>
      </c>
      <c r="C622" s="2" t="s">
        <v>1239</v>
      </c>
      <c r="D622" s="2" t="s">
        <v>24</v>
      </c>
      <c r="E622" s="3" t="s">
        <v>1377</v>
      </c>
      <c r="I622" s="7" t="str">
        <f t="shared" si="23"/>
        <v>Pump4</v>
      </c>
      <c r="J622" s="7" t="str">
        <f t="shared" si="24"/>
        <v>Set_tempB</v>
      </c>
      <c r="O622" t="s">
        <v>1420</v>
      </c>
      <c r="Q622" t="s">
        <v>1420</v>
      </c>
    </row>
    <row r="623" spans="1:17" x14ac:dyDescent="0.25">
      <c r="A623" s="2">
        <v>617</v>
      </c>
      <c r="B623" s="3" t="s">
        <v>1240</v>
      </c>
      <c r="C623" s="2" t="s">
        <v>1241</v>
      </c>
      <c r="D623" s="2" t="s">
        <v>24</v>
      </c>
      <c r="E623" s="3" t="s">
        <v>1378</v>
      </c>
      <c r="I623" s="7" t="str">
        <f t="shared" si="23"/>
        <v>Pump4</v>
      </c>
      <c r="J623" s="7" t="str">
        <f t="shared" si="24"/>
        <v>Set_tempC</v>
      </c>
      <c r="O623" t="s">
        <v>1421</v>
      </c>
      <c r="Q623" t="s">
        <v>1421</v>
      </c>
    </row>
    <row r="624" spans="1:17" x14ac:dyDescent="0.25">
      <c r="A624" s="2">
        <v>618</v>
      </c>
      <c r="B624" s="3" t="s">
        <v>1242</v>
      </c>
      <c r="C624" s="2" t="s">
        <v>1243</v>
      </c>
      <c r="D624" s="2" t="s">
        <v>24</v>
      </c>
      <c r="E624" s="3" t="s">
        <v>1379</v>
      </c>
      <c r="I624" s="7" t="str">
        <f t="shared" si="23"/>
        <v>Pump4</v>
      </c>
      <c r="J624" s="7" t="str">
        <f t="shared" si="24"/>
        <v>Set_tempDE</v>
      </c>
      <c r="O624" t="s">
        <v>1422</v>
      </c>
      <c r="Q624" t="s">
        <v>1422</v>
      </c>
    </row>
    <row r="625" spans="1:17" x14ac:dyDescent="0.25">
      <c r="A625" s="2">
        <v>619</v>
      </c>
      <c r="B625" s="3" t="s">
        <v>1244</v>
      </c>
      <c r="C625" s="2" t="s">
        <v>1245</v>
      </c>
      <c r="D625" s="2" t="s">
        <v>24</v>
      </c>
      <c r="E625" s="3" t="s">
        <v>1380</v>
      </c>
      <c r="I625" s="7" t="str">
        <f t="shared" si="23"/>
        <v>Pump4</v>
      </c>
      <c r="J625" s="7" t="str">
        <f t="shared" si="24"/>
        <v>Set_tempNDE</v>
      </c>
      <c r="O625" t="s">
        <v>1423</v>
      </c>
      <c r="Q625" t="s">
        <v>1423</v>
      </c>
    </row>
    <row r="626" spans="1:17" x14ac:dyDescent="0.25">
      <c r="A626" s="2">
        <v>620</v>
      </c>
      <c r="B626" s="3" t="s">
        <v>1246</v>
      </c>
      <c r="C626" s="2" t="s">
        <v>1247</v>
      </c>
      <c r="D626" s="2" t="s">
        <v>24</v>
      </c>
      <c r="E626" s="3" t="s">
        <v>1376</v>
      </c>
      <c r="I626" s="7" t="str">
        <f t="shared" si="23"/>
        <v>Pump5</v>
      </c>
      <c r="J626" s="7" t="str">
        <f t="shared" si="24"/>
        <v>Set_tempA</v>
      </c>
      <c r="O626" t="s">
        <v>1419</v>
      </c>
      <c r="Q626" t="s">
        <v>1419</v>
      </c>
    </row>
    <row r="627" spans="1:17" x14ac:dyDescent="0.25">
      <c r="A627" s="2">
        <v>621</v>
      </c>
      <c r="B627" s="3" t="s">
        <v>1248</v>
      </c>
      <c r="C627" s="2" t="s">
        <v>1249</v>
      </c>
      <c r="D627" s="2" t="s">
        <v>24</v>
      </c>
      <c r="E627" s="3" t="s">
        <v>1377</v>
      </c>
      <c r="I627" s="7" t="str">
        <f t="shared" si="23"/>
        <v>Pump5</v>
      </c>
      <c r="J627" s="7" t="str">
        <f t="shared" si="24"/>
        <v>Set_tempB</v>
      </c>
      <c r="O627" t="s">
        <v>1420</v>
      </c>
      <c r="Q627" t="s">
        <v>1420</v>
      </c>
    </row>
    <row r="628" spans="1:17" x14ac:dyDescent="0.25">
      <c r="A628" s="2">
        <v>622</v>
      </c>
      <c r="B628" s="3" t="s">
        <v>1250</v>
      </c>
      <c r="C628" s="2" t="s">
        <v>1251</v>
      </c>
      <c r="D628" s="2" t="s">
        <v>24</v>
      </c>
      <c r="E628" s="3" t="s">
        <v>1378</v>
      </c>
      <c r="I628" s="7" t="str">
        <f t="shared" si="23"/>
        <v>Pump5</v>
      </c>
      <c r="J628" s="7" t="str">
        <f t="shared" si="24"/>
        <v>Set_tempC</v>
      </c>
      <c r="O628" t="s">
        <v>1421</v>
      </c>
      <c r="Q628" t="s">
        <v>1421</v>
      </c>
    </row>
    <row r="629" spans="1:17" x14ac:dyDescent="0.25">
      <c r="A629" s="2">
        <v>623</v>
      </c>
      <c r="B629" s="3" t="s">
        <v>1252</v>
      </c>
      <c r="C629" s="2" t="s">
        <v>1253</v>
      </c>
      <c r="D629" s="2" t="s">
        <v>24</v>
      </c>
      <c r="E629" s="3" t="s">
        <v>1379</v>
      </c>
      <c r="I629" s="7" t="str">
        <f t="shared" si="23"/>
        <v>Pump5</v>
      </c>
      <c r="J629" s="7" t="str">
        <f t="shared" si="24"/>
        <v>Set_tempDE</v>
      </c>
      <c r="O629" t="s">
        <v>1422</v>
      </c>
      <c r="Q629" t="s">
        <v>1422</v>
      </c>
    </row>
    <row r="630" spans="1:17" x14ac:dyDescent="0.25">
      <c r="A630" s="2">
        <v>624</v>
      </c>
      <c r="B630" s="3" t="s">
        <v>1254</v>
      </c>
      <c r="C630" s="2" t="s">
        <v>1255</v>
      </c>
      <c r="D630" s="2" t="s">
        <v>24</v>
      </c>
      <c r="E630" s="3" t="s">
        <v>1380</v>
      </c>
      <c r="I630" s="7" t="str">
        <f t="shared" si="23"/>
        <v>Pump5</v>
      </c>
      <c r="J630" s="7" t="str">
        <f t="shared" ref="J630:J688" si="25">RIGHT(B630, LEN(B630)-SEARCH("_",B630 ))</f>
        <v>Set_tempNDE</v>
      </c>
      <c r="O630" t="s">
        <v>1423</v>
      </c>
      <c r="Q630" t="s">
        <v>1423</v>
      </c>
    </row>
    <row r="631" spans="1:17" x14ac:dyDescent="0.25">
      <c r="A631" s="2">
        <v>625</v>
      </c>
      <c r="B631" s="3" t="s">
        <v>1256</v>
      </c>
      <c r="C631" s="2" t="s">
        <v>1257</v>
      </c>
      <c r="D631" s="2" t="s">
        <v>24</v>
      </c>
      <c r="E631" s="3" t="s">
        <v>1376</v>
      </c>
      <c r="I631" s="7" t="str">
        <f t="shared" si="23"/>
        <v>Pump6</v>
      </c>
      <c r="J631" s="7" t="str">
        <f t="shared" si="25"/>
        <v>Set_tempA</v>
      </c>
      <c r="O631" t="s">
        <v>1419</v>
      </c>
      <c r="Q631" t="s">
        <v>1419</v>
      </c>
    </row>
    <row r="632" spans="1:17" x14ac:dyDescent="0.25">
      <c r="A632" s="2">
        <v>626</v>
      </c>
      <c r="B632" s="3" t="s">
        <v>1258</v>
      </c>
      <c r="C632" s="2" t="s">
        <v>1259</v>
      </c>
      <c r="D632" s="2" t="s">
        <v>24</v>
      </c>
      <c r="E632" s="3" t="s">
        <v>1377</v>
      </c>
      <c r="I632" s="7" t="str">
        <f t="shared" si="23"/>
        <v>Pump6</v>
      </c>
      <c r="J632" s="7" t="str">
        <f t="shared" si="25"/>
        <v>Set_tempB</v>
      </c>
      <c r="O632" t="s">
        <v>1420</v>
      </c>
      <c r="Q632" t="s">
        <v>1420</v>
      </c>
    </row>
    <row r="633" spans="1:17" x14ac:dyDescent="0.25">
      <c r="A633" s="2">
        <v>627</v>
      </c>
      <c r="B633" s="3" t="s">
        <v>1260</v>
      </c>
      <c r="C633" s="2" t="s">
        <v>1261</v>
      </c>
      <c r="D633" s="2" t="s">
        <v>24</v>
      </c>
      <c r="E633" s="3" t="s">
        <v>1378</v>
      </c>
      <c r="I633" s="7" t="str">
        <f t="shared" si="23"/>
        <v>Pump6</v>
      </c>
      <c r="J633" s="7" t="str">
        <f t="shared" si="25"/>
        <v>Set_tempC</v>
      </c>
      <c r="O633" t="s">
        <v>1421</v>
      </c>
      <c r="Q633" t="s">
        <v>1421</v>
      </c>
    </row>
    <row r="634" spans="1:17" x14ac:dyDescent="0.25">
      <c r="A634" s="2">
        <v>628</v>
      </c>
      <c r="B634" s="3" t="s">
        <v>1262</v>
      </c>
      <c r="C634" s="2" t="s">
        <v>1263</v>
      </c>
      <c r="D634" s="2" t="s">
        <v>24</v>
      </c>
      <c r="E634" s="3" t="s">
        <v>1379</v>
      </c>
      <c r="I634" s="7" t="str">
        <f t="shared" si="23"/>
        <v>Pump6</v>
      </c>
      <c r="J634" s="7" t="str">
        <f t="shared" si="25"/>
        <v>Set_tempDE</v>
      </c>
      <c r="O634" t="s">
        <v>1422</v>
      </c>
      <c r="Q634" t="s">
        <v>1422</v>
      </c>
    </row>
    <row r="635" spans="1:17" x14ac:dyDescent="0.25">
      <c r="A635" s="2">
        <v>629</v>
      </c>
      <c r="B635" s="3" t="s">
        <v>1264</v>
      </c>
      <c r="C635" s="2" t="s">
        <v>1265</v>
      </c>
      <c r="D635" s="2" t="s">
        <v>24</v>
      </c>
      <c r="E635" s="3" t="s">
        <v>1380</v>
      </c>
      <c r="I635" s="7" t="str">
        <f t="shared" si="23"/>
        <v>Pump6</v>
      </c>
      <c r="J635" s="7" t="str">
        <f t="shared" si="25"/>
        <v>Set_tempNDE</v>
      </c>
      <c r="O635" t="s">
        <v>1423</v>
      </c>
      <c r="Q635" t="s">
        <v>1423</v>
      </c>
    </row>
    <row r="636" spans="1:17" x14ac:dyDescent="0.25">
      <c r="A636" s="2">
        <v>630</v>
      </c>
      <c r="B636" s="3" t="s">
        <v>1266</v>
      </c>
      <c r="C636" s="2" t="s">
        <v>1267</v>
      </c>
      <c r="D636" s="2" t="s">
        <v>24</v>
      </c>
      <c r="E636" s="3" t="s">
        <v>1376</v>
      </c>
      <c r="I636" s="7" t="str">
        <f t="shared" si="23"/>
        <v>Pump7</v>
      </c>
      <c r="J636" s="7" t="str">
        <f t="shared" si="25"/>
        <v>Set_tempA</v>
      </c>
      <c r="O636" t="s">
        <v>1419</v>
      </c>
      <c r="Q636" t="s">
        <v>1419</v>
      </c>
    </row>
    <row r="637" spans="1:17" x14ac:dyDescent="0.25">
      <c r="A637" s="2">
        <v>631</v>
      </c>
      <c r="B637" s="3" t="s">
        <v>1268</v>
      </c>
      <c r="C637" s="2" t="s">
        <v>1269</v>
      </c>
      <c r="D637" s="2" t="s">
        <v>24</v>
      </c>
      <c r="E637" s="3" t="s">
        <v>1377</v>
      </c>
      <c r="I637" s="7" t="str">
        <f t="shared" si="23"/>
        <v>Pump7</v>
      </c>
      <c r="J637" s="7" t="str">
        <f t="shared" si="25"/>
        <v>Set_tempB</v>
      </c>
      <c r="O637" t="s">
        <v>1420</v>
      </c>
      <c r="Q637" t="s">
        <v>1420</v>
      </c>
    </row>
    <row r="638" spans="1:17" x14ac:dyDescent="0.25">
      <c r="A638" s="2">
        <v>632</v>
      </c>
      <c r="B638" s="3" t="s">
        <v>1270</v>
      </c>
      <c r="C638" s="2" t="s">
        <v>1271</v>
      </c>
      <c r="D638" s="2" t="s">
        <v>24</v>
      </c>
      <c r="E638" s="3" t="s">
        <v>1378</v>
      </c>
      <c r="I638" s="7" t="str">
        <f t="shared" si="23"/>
        <v>Pump7</v>
      </c>
      <c r="J638" s="7" t="str">
        <f t="shared" si="25"/>
        <v>Set_tempC</v>
      </c>
      <c r="O638" t="s">
        <v>1421</v>
      </c>
      <c r="Q638" t="s">
        <v>1421</v>
      </c>
    </row>
    <row r="639" spans="1:17" x14ac:dyDescent="0.25">
      <c r="A639" s="2">
        <v>633</v>
      </c>
      <c r="B639" s="3" t="s">
        <v>1272</v>
      </c>
      <c r="C639" s="2" t="s">
        <v>1273</v>
      </c>
      <c r="D639" s="2" t="s">
        <v>24</v>
      </c>
      <c r="E639" s="3" t="s">
        <v>1379</v>
      </c>
      <c r="I639" s="7" t="str">
        <f t="shared" si="23"/>
        <v>Pump7</v>
      </c>
      <c r="J639" s="7" t="str">
        <f t="shared" si="25"/>
        <v>Set_tempDE</v>
      </c>
      <c r="O639" t="s">
        <v>1422</v>
      </c>
      <c r="Q639" t="s">
        <v>1422</v>
      </c>
    </row>
    <row r="640" spans="1:17" x14ac:dyDescent="0.25">
      <c r="A640" s="2">
        <v>634</v>
      </c>
      <c r="B640" s="3" t="s">
        <v>1274</v>
      </c>
      <c r="C640" s="2" t="s">
        <v>1275</v>
      </c>
      <c r="D640" s="2" t="s">
        <v>24</v>
      </c>
      <c r="E640" s="3" t="s">
        <v>1380</v>
      </c>
      <c r="I640" s="7" t="str">
        <f t="shared" si="23"/>
        <v>Pump7</v>
      </c>
      <c r="J640" s="7" t="str">
        <f t="shared" si="25"/>
        <v>Set_tempNDE</v>
      </c>
      <c r="O640" t="s">
        <v>1423</v>
      </c>
      <c r="Q640" t="s">
        <v>1423</v>
      </c>
    </row>
    <row r="641" spans="1:17" x14ac:dyDescent="0.25">
      <c r="A641" s="2">
        <v>635</v>
      </c>
      <c r="B641" s="3" t="s">
        <v>1276</v>
      </c>
      <c r="C641" s="2" t="s">
        <v>1277</v>
      </c>
      <c r="D641" s="2" t="s">
        <v>24</v>
      </c>
      <c r="E641" s="3" t="s">
        <v>1376</v>
      </c>
      <c r="I641" s="7" t="str">
        <f t="shared" si="23"/>
        <v>Pump8</v>
      </c>
      <c r="J641" s="7" t="str">
        <f t="shared" si="25"/>
        <v>Set_tempA</v>
      </c>
      <c r="O641" t="s">
        <v>1419</v>
      </c>
      <c r="Q641" t="s">
        <v>1419</v>
      </c>
    </row>
    <row r="642" spans="1:17" x14ac:dyDescent="0.25">
      <c r="A642" s="2">
        <v>636</v>
      </c>
      <c r="B642" s="3" t="s">
        <v>1278</v>
      </c>
      <c r="C642" s="2" t="s">
        <v>1279</v>
      </c>
      <c r="D642" s="2" t="s">
        <v>24</v>
      </c>
      <c r="E642" s="3" t="s">
        <v>1377</v>
      </c>
      <c r="I642" s="7" t="str">
        <f t="shared" si="23"/>
        <v>Pump8</v>
      </c>
      <c r="J642" s="7" t="str">
        <f t="shared" si="25"/>
        <v>Set_tempB</v>
      </c>
      <c r="O642" t="s">
        <v>1420</v>
      </c>
      <c r="Q642" t="s">
        <v>1420</v>
      </c>
    </row>
    <row r="643" spans="1:17" x14ac:dyDescent="0.25">
      <c r="A643" s="2">
        <v>637</v>
      </c>
      <c r="B643" s="3" t="s">
        <v>1280</v>
      </c>
      <c r="C643" s="2" t="s">
        <v>1281</v>
      </c>
      <c r="D643" s="2" t="s">
        <v>24</v>
      </c>
      <c r="E643" s="3" t="s">
        <v>1378</v>
      </c>
      <c r="I643" s="7" t="str">
        <f t="shared" si="23"/>
        <v>Pump8</v>
      </c>
      <c r="J643" s="7" t="str">
        <f t="shared" si="25"/>
        <v>Set_tempC</v>
      </c>
      <c r="O643" t="s">
        <v>1421</v>
      </c>
      <c r="Q643" t="s">
        <v>1421</v>
      </c>
    </row>
    <row r="644" spans="1:17" x14ac:dyDescent="0.25">
      <c r="A644" s="2">
        <v>638</v>
      </c>
      <c r="B644" s="3" t="s">
        <v>1282</v>
      </c>
      <c r="C644" s="2" t="s">
        <v>1283</v>
      </c>
      <c r="D644" s="2" t="s">
        <v>24</v>
      </c>
      <c r="E644" s="3" t="s">
        <v>1379</v>
      </c>
      <c r="I644" s="7" t="str">
        <f t="shared" si="23"/>
        <v>Pump8</v>
      </c>
      <c r="J644" s="7" t="str">
        <f t="shared" si="25"/>
        <v>Set_tempDE</v>
      </c>
      <c r="O644" t="s">
        <v>1422</v>
      </c>
      <c r="Q644" t="s">
        <v>1422</v>
      </c>
    </row>
    <row r="645" spans="1:17" x14ac:dyDescent="0.25">
      <c r="A645" s="2">
        <v>639</v>
      </c>
      <c r="B645" s="3" t="s">
        <v>1284</v>
      </c>
      <c r="C645" s="2" t="s">
        <v>1285</v>
      </c>
      <c r="D645" s="2" t="s">
        <v>24</v>
      </c>
      <c r="E645" s="3" t="s">
        <v>1380</v>
      </c>
      <c r="I645" s="7" t="str">
        <f t="shared" si="23"/>
        <v>Pump8</v>
      </c>
      <c r="J645" s="7" t="str">
        <f t="shared" si="25"/>
        <v>Set_tempNDE</v>
      </c>
      <c r="O645" t="s">
        <v>1423</v>
      </c>
      <c r="Q645" t="s">
        <v>1423</v>
      </c>
    </row>
    <row r="646" spans="1:17" x14ac:dyDescent="0.25">
      <c r="A646" s="2">
        <v>640</v>
      </c>
      <c r="B646" s="3" t="s">
        <v>1286</v>
      </c>
      <c r="C646" s="2" t="s">
        <v>1287</v>
      </c>
      <c r="D646" s="2" t="s">
        <v>24</v>
      </c>
      <c r="E646" s="3" t="s">
        <v>1376</v>
      </c>
      <c r="I646" s="7" t="str">
        <f t="shared" si="23"/>
        <v>Pump9</v>
      </c>
      <c r="J646" s="7" t="str">
        <f t="shared" si="25"/>
        <v>Set_tempA</v>
      </c>
      <c r="O646" t="s">
        <v>1419</v>
      </c>
      <c r="Q646" t="s">
        <v>1419</v>
      </c>
    </row>
    <row r="647" spans="1:17" x14ac:dyDescent="0.25">
      <c r="A647" s="2">
        <v>641</v>
      </c>
      <c r="B647" s="3" t="s">
        <v>1288</v>
      </c>
      <c r="C647" s="2" t="s">
        <v>1289</v>
      </c>
      <c r="D647" s="2" t="s">
        <v>24</v>
      </c>
      <c r="E647" s="3" t="s">
        <v>1377</v>
      </c>
      <c r="I647" s="7" t="str">
        <f t="shared" si="23"/>
        <v>Pump9</v>
      </c>
      <c r="J647" s="7" t="str">
        <f t="shared" si="25"/>
        <v>Set_tempB</v>
      </c>
      <c r="O647" t="s">
        <v>1420</v>
      </c>
      <c r="Q647" t="s">
        <v>1420</v>
      </c>
    </row>
    <row r="648" spans="1:17" x14ac:dyDescent="0.25">
      <c r="A648" s="2">
        <v>642</v>
      </c>
      <c r="B648" s="3" t="s">
        <v>1290</v>
      </c>
      <c r="C648" s="2" t="s">
        <v>1291</v>
      </c>
      <c r="D648" s="2" t="s">
        <v>24</v>
      </c>
      <c r="E648" s="3" t="s">
        <v>1378</v>
      </c>
      <c r="I648" s="7" t="str">
        <f t="shared" si="23"/>
        <v>Pump9</v>
      </c>
      <c r="J648" s="7" t="str">
        <f t="shared" si="25"/>
        <v>Set_tempC</v>
      </c>
      <c r="O648" t="s">
        <v>1421</v>
      </c>
      <c r="Q648" t="s">
        <v>1421</v>
      </c>
    </row>
    <row r="649" spans="1:17" x14ac:dyDescent="0.25">
      <c r="A649" s="2">
        <v>643</v>
      </c>
      <c r="B649" s="3" t="s">
        <v>1292</v>
      </c>
      <c r="C649" s="2" t="s">
        <v>1293</v>
      </c>
      <c r="D649" s="2" t="s">
        <v>24</v>
      </c>
      <c r="E649" s="3" t="s">
        <v>1379</v>
      </c>
      <c r="I649" s="7" t="str">
        <f t="shared" si="23"/>
        <v>Pump9</v>
      </c>
      <c r="J649" s="7" t="str">
        <f t="shared" si="25"/>
        <v>Set_tempDE</v>
      </c>
      <c r="O649" t="s">
        <v>1422</v>
      </c>
      <c r="Q649" t="s">
        <v>1422</v>
      </c>
    </row>
    <row r="650" spans="1:17" x14ac:dyDescent="0.25">
      <c r="A650" s="2">
        <v>644</v>
      </c>
      <c r="B650" s="3" t="s">
        <v>1294</v>
      </c>
      <c r="C650" s="2" t="s">
        <v>1295</v>
      </c>
      <c r="D650" s="2" t="s">
        <v>24</v>
      </c>
      <c r="E650" s="3" t="s">
        <v>1380</v>
      </c>
      <c r="I650" s="7" t="str">
        <f t="shared" si="23"/>
        <v>Pump9</v>
      </c>
      <c r="J650" s="7" t="str">
        <f t="shared" si="25"/>
        <v>Set_tempNDE</v>
      </c>
      <c r="O650" t="s">
        <v>1423</v>
      </c>
      <c r="Q650" t="s">
        <v>1423</v>
      </c>
    </row>
    <row r="651" spans="1:17" x14ac:dyDescent="0.25">
      <c r="A651" s="2">
        <v>645</v>
      </c>
      <c r="B651" s="3" t="s">
        <v>1296</v>
      </c>
      <c r="C651" s="2" t="s">
        <v>1297</v>
      </c>
      <c r="D651" s="2" t="s">
        <v>24</v>
      </c>
      <c r="E651" s="3" t="s">
        <v>1376</v>
      </c>
      <c r="I651" s="7" t="str">
        <f t="shared" si="23"/>
        <v>Pump10</v>
      </c>
      <c r="J651" s="7" t="str">
        <f t="shared" si="25"/>
        <v>Set_tempA</v>
      </c>
      <c r="O651" t="s">
        <v>1419</v>
      </c>
      <c r="Q651" t="s">
        <v>1419</v>
      </c>
    </row>
    <row r="652" spans="1:17" x14ac:dyDescent="0.25">
      <c r="A652" s="2">
        <v>646</v>
      </c>
      <c r="B652" s="3" t="s">
        <v>1298</v>
      </c>
      <c r="C652" s="2" t="s">
        <v>1299</v>
      </c>
      <c r="D652" s="2" t="s">
        <v>24</v>
      </c>
      <c r="E652" s="3" t="s">
        <v>1377</v>
      </c>
      <c r="I652" s="7" t="str">
        <f t="shared" si="23"/>
        <v>Pump10</v>
      </c>
      <c r="J652" s="7" t="str">
        <f t="shared" si="25"/>
        <v>Set_tempB</v>
      </c>
      <c r="O652" t="s">
        <v>1420</v>
      </c>
      <c r="Q652" t="s">
        <v>1420</v>
      </c>
    </row>
    <row r="653" spans="1:17" x14ac:dyDescent="0.25">
      <c r="A653" s="2">
        <v>647</v>
      </c>
      <c r="B653" s="3" t="s">
        <v>1300</v>
      </c>
      <c r="C653" s="2" t="s">
        <v>1301</v>
      </c>
      <c r="D653" s="2" t="s">
        <v>24</v>
      </c>
      <c r="E653" s="3" t="s">
        <v>1378</v>
      </c>
      <c r="I653" s="7" t="str">
        <f t="shared" si="23"/>
        <v>Pump10</v>
      </c>
      <c r="J653" s="7" t="str">
        <f t="shared" si="25"/>
        <v>Set_tempC</v>
      </c>
      <c r="O653" t="s">
        <v>1421</v>
      </c>
      <c r="Q653" t="s">
        <v>1421</v>
      </c>
    </row>
    <row r="654" spans="1:17" x14ac:dyDescent="0.25">
      <c r="A654" s="2">
        <v>648</v>
      </c>
      <c r="B654" s="3" t="s">
        <v>1302</v>
      </c>
      <c r="C654" s="2" t="s">
        <v>1303</v>
      </c>
      <c r="D654" s="2" t="s">
        <v>24</v>
      </c>
      <c r="E654" s="3" t="s">
        <v>1379</v>
      </c>
      <c r="I654" s="7" t="str">
        <f t="shared" si="23"/>
        <v>Pump10</v>
      </c>
      <c r="J654" s="7" t="str">
        <f t="shared" si="25"/>
        <v>Set_tempDE</v>
      </c>
      <c r="O654" t="s">
        <v>1422</v>
      </c>
      <c r="Q654" t="s">
        <v>1422</v>
      </c>
    </row>
    <row r="655" spans="1:17" x14ac:dyDescent="0.25">
      <c r="A655" s="2">
        <v>649</v>
      </c>
      <c r="B655" s="3" t="s">
        <v>1304</v>
      </c>
      <c r="C655" s="2" t="s">
        <v>1305</v>
      </c>
      <c r="D655" s="2" t="s">
        <v>24</v>
      </c>
      <c r="E655" s="3" t="s">
        <v>1380</v>
      </c>
      <c r="I655" s="7" t="str">
        <f t="shared" si="23"/>
        <v>Pump10</v>
      </c>
      <c r="J655" s="7" t="str">
        <f t="shared" si="25"/>
        <v>Set_tempNDE</v>
      </c>
      <c r="O655" t="s">
        <v>1423</v>
      </c>
      <c r="Q655" t="s">
        <v>1423</v>
      </c>
    </row>
    <row r="656" spans="1:17" x14ac:dyDescent="0.25">
      <c r="B656" s="15" t="s">
        <v>1443</v>
      </c>
      <c r="D656" s="1" t="s">
        <v>1479</v>
      </c>
      <c r="E656" s="15" t="s">
        <v>1476</v>
      </c>
      <c r="I656" s="7" t="str">
        <f t="shared" si="23"/>
        <v>Metter0</v>
      </c>
      <c r="J656" s="7" t="str">
        <f t="shared" si="25"/>
        <v>Set_CurentR</v>
      </c>
      <c r="Q656" s="15" t="s">
        <v>1476</v>
      </c>
    </row>
    <row r="657" spans="2:17" x14ac:dyDescent="0.25">
      <c r="B657" s="15" t="s">
        <v>1444</v>
      </c>
      <c r="D657" s="1" t="s">
        <v>1479</v>
      </c>
      <c r="E657" s="15" t="s">
        <v>1477</v>
      </c>
      <c r="I657" s="7" t="str">
        <f t="shared" si="23"/>
        <v>Metter0</v>
      </c>
      <c r="J657" s="7" t="str">
        <f t="shared" si="25"/>
        <v>Set_CurentS</v>
      </c>
      <c r="Q657" s="15" t="s">
        <v>1477</v>
      </c>
    </row>
    <row r="658" spans="2:17" x14ac:dyDescent="0.25">
      <c r="B658" s="15" t="s">
        <v>1445</v>
      </c>
      <c r="D658" s="1" t="s">
        <v>1479</v>
      </c>
      <c r="E658" s="15" t="s">
        <v>1478</v>
      </c>
      <c r="I658" s="7" t="str">
        <f t="shared" ref="I658:I688" si="26">LEFT(B658, SEARCH("_",B658 ) - 1)</f>
        <v>Metter0</v>
      </c>
      <c r="J658" s="7" t="str">
        <f t="shared" si="25"/>
        <v>Set_CurentT</v>
      </c>
      <c r="Q658" s="15" t="s">
        <v>1478</v>
      </c>
    </row>
    <row r="659" spans="2:17" x14ac:dyDescent="0.25">
      <c r="B659" s="15" t="s">
        <v>1446</v>
      </c>
      <c r="D659" s="1" t="s">
        <v>1479</v>
      </c>
      <c r="E659" s="15" t="s">
        <v>1476</v>
      </c>
      <c r="I659" s="7" t="str">
        <f t="shared" si="26"/>
        <v>Metter1</v>
      </c>
      <c r="J659" s="7" t="str">
        <f t="shared" si="25"/>
        <v>Set_CurentR</v>
      </c>
      <c r="Q659" s="15" t="s">
        <v>1476</v>
      </c>
    </row>
    <row r="660" spans="2:17" x14ac:dyDescent="0.25">
      <c r="B660" s="15" t="s">
        <v>1447</v>
      </c>
      <c r="D660" s="1" t="s">
        <v>1479</v>
      </c>
      <c r="E660" s="15" t="s">
        <v>1477</v>
      </c>
      <c r="I660" s="7" t="str">
        <f t="shared" si="26"/>
        <v>Metter1</v>
      </c>
      <c r="J660" s="7" t="str">
        <f t="shared" si="25"/>
        <v>Set_CurentS</v>
      </c>
      <c r="Q660" s="15" t="s">
        <v>1477</v>
      </c>
    </row>
    <row r="661" spans="2:17" x14ac:dyDescent="0.25">
      <c r="B661" s="15" t="s">
        <v>1448</v>
      </c>
      <c r="D661" s="1" t="s">
        <v>1479</v>
      </c>
      <c r="E661" s="15" t="s">
        <v>1478</v>
      </c>
      <c r="I661" s="7" t="str">
        <f t="shared" si="26"/>
        <v>Metter1</v>
      </c>
      <c r="J661" s="7" t="str">
        <f t="shared" si="25"/>
        <v>Set_CurentT</v>
      </c>
      <c r="Q661" s="15" t="s">
        <v>1478</v>
      </c>
    </row>
    <row r="662" spans="2:17" x14ac:dyDescent="0.25">
      <c r="B662" s="15" t="s">
        <v>1449</v>
      </c>
      <c r="D662" s="1" t="s">
        <v>1479</v>
      </c>
      <c r="E662" s="15" t="s">
        <v>1476</v>
      </c>
      <c r="I662" s="7" t="str">
        <f t="shared" si="26"/>
        <v>Metter2</v>
      </c>
      <c r="J662" s="7" t="str">
        <f t="shared" si="25"/>
        <v>Set_CurentR</v>
      </c>
      <c r="Q662" s="15" t="s">
        <v>1476</v>
      </c>
    </row>
    <row r="663" spans="2:17" x14ac:dyDescent="0.25">
      <c r="B663" s="15" t="s">
        <v>1450</v>
      </c>
      <c r="D663" s="1" t="s">
        <v>1479</v>
      </c>
      <c r="E663" s="15" t="s">
        <v>1477</v>
      </c>
      <c r="I663" s="7" t="str">
        <f t="shared" si="26"/>
        <v>Metter2</v>
      </c>
      <c r="J663" s="7" t="str">
        <f t="shared" si="25"/>
        <v>Set_CurentS</v>
      </c>
      <c r="Q663" s="15" t="s">
        <v>1477</v>
      </c>
    </row>
    <row r="664" spans="2:17" x14ac:dyDescent="0.25">
      <c r="B664" s="15" t="s">
        <v>1451</v>
      </c>
      <c r="D664" s="1" t="s">
        <v>1479</v>
      </c>
      <c r="E664" s="15" t="s">
        <v>1478</v>
      </c>
      <c r="I664" s="7" t="str">
        <f t="shared" si="26"/>
        <v>Metter2</v>
      </c>
      <c r="J664" s="7" t="str">
        <f t="shared" si="25"/>
        <v>Set_CurentT</v>
      </c>
      <c r="Q664" s="15" t="s">
        <v>1478</v>
      </c>
    </row>
    <row r="665" spans="2:17" x14ac:dyDescent="0.25">
      <c r="B665" s="15" t="s">
        <v>1452</v>
      </c>
      <c r="D665" s="1" t="s">
        <v>1479</v>
      </c>
      <c r="E665" s="15" t="s">
        <v>1476</v>
      </c>
      <c r="I665" s="7" t="str">
        <f t="shared" si="26"/>
        <v>Metter3</v>
      </c>
      <c r="J665" s="7" t="str">
        <f t="shared" si="25"/>
        <v>Set_CurentR</v>
      </c>
      <c r="Q665" s="15" t="s">
        <v>1476</v>
      </c>
    </row>
    <row r="666" spans="2:17" x14ac:dyDescent="0.25">
      <c r="B666" s="15" t="s">
        <v>1453</v>
      </c>
      <c r="D666" s="1" t="s">
        <v>1479</v>
      </c>
      <c r="E666" s="15" t="s">
        <v>1477</v>
      </c>
      <c r="I666" s="7" t="str">
        <f t="shared" si="26"/>
        <v>Metter3</v>
      </c>
      <c r="J666" s="7" t="str">
        <f t="shared" si="25"/>
        <v>Set_CurentS</v>
      </c>
      <c r="Q666" s="15" t="s">
        <v>1477</v>
      </c>
    </row>
    <row r="667" spans="2:17" x14ac:dyDescent="0.25">
      <c r="B667" s="15" t="s">
        <v>1454</v>
      </c>
      <c r="D667" s="1" t="s">
        <v>1479</v>
      </c>
      <c r="E667" s="15" t="s">
        <v>1478</v>
      </c>
      <c r="I667" s="7" t="str">
        <f t="shared" si="26"/>
        <v>Metter3</v>
      </c>
      <c r="J667" s="7" t="str">
        <f t="shared" si="25"/>
        <v>Set_CurentT</v>
      </c>
      <c r="Q667" s="15" t="s">
        <v>1478</v>
      </c>
    </row>
    <row r="668" spans="2:17" x14ac:dyDescent="0.25">
      <c r="B668" s="15" t="s">
        <v>1455</v>
      </c>
      <c r="D668" s="1" t="s">
        <v>1479</v>
      </c>
      <c r="E668" s="15" t="s">
        <v>1476</v>
      </c>
      <c r="I668" s="7" t="str">
        <f t="shared" si="26"/>
        <v>Metter4</v>
      </c>
      <c r="J668" s="7" t="str">
        <f t="shared" si="25"/>
        <v>Set_CurentR</v>
      </c>
      <c r="Q668" s="15" t="s">
        <v>1476</v>
      </c>
    </row>
    <row r="669" spans="2:17" x14ac:dyDescent="0.25">
      <c r="B669" s="15" t="s">
        <v>1456</v>
      </c>
      <c r="D669" s="1" t="s">
        <v>1479</v>
      </c>
      <c r="E669" s="15" t="s">
        <v>1477</v>
      </c>
      <c r="I669" s="7" t="str">
        <f t="shared" si="26"/>
        <v>Metter4</v>
      </c>
      <c r="J669" s="7" t="str">
        <f t="shared" si="25"/>
        <v>Set_CurentS</v>
      </c>
      <c r="Q669" s="15" t="s">
        <v>1477</v>
      </c>
    </row>
    <row r="670" spans="2:17" x14ac:dyDescent="0.25">
      <c r="B670" s="15" t="s">
        <v>1457</v>
      </c>
      <c r="D670" s="1" t="s">
        <v>1479</v>
      </c>
      <c r="E670" s="15" t="s">
        <v>1478</v>
      </c>
      <c r="I670" s="7" t="str">
        <f t="shared" si="26"/>
        <v>Metter4</v>
      </c>
      <c r="J670" s="7" t="str">
        <f t="shared" si="25"/>
        <v>Set_CurentT</v>
      </c>
      <c r="Q670" s="15" t="s">
        <v>1478</v>
      </c>
    </row>
    <row r="671" spans="2:17" x14ac:dyDescent="0.25">
      <c r="B671" s="15" t="s">
        <v>1458</v>
      </c>
      <c r="D671" s="1" t="s">
        <v>1479</v>
      </c>
      <c r="E671" s="15" t="s">
        <v>1476</v>
      </c>
      <c r="I671" s="7" t="str">
        <f t="shared" si="26"/>
        <v>Metter5</v>
      </c>
      <c r="J671" s="7" t="str">
        <f t="shared" si="25"/>
        <v>Set_CurentR</v>
      </c>
      <c r="Q671" s="15" t="s">
        <v>1476</v>
      </c>
    </row>
    <row r="672" spans="2:17" x14ac:dyDescent="0.25">
      <c r="B672" s="15" t="s">
        <v>1459</v>
      </c>
      <c r="D672" s="1" t="s">
        <v>1479</v>
      </c>
      <c r="E672" s="15" t="s">
        <v>1477</v>
      </c>
      <c r="I672" s="7" t="str">
        <f t="shared" si="26"/>
        <v>Metter5</v>
      </c>
      <c r="J672" s="7" t="str">
        <f t="shared" si="25"/>
        <v>Set_CurentS</v>
      </c>
      <c r="Q672" s="15" t="s">
        <v>1477</v>
      </c>
    </row>
    <row r="673" spans="2:17" x14ac:dyDescent="0.25">
      <c r="B673" s="15" t="s">
        <v>1460</v>
      </c>
      <c r="D673" s="1" t="s">
        <v>1479</v>
      </c>
      <c r="E673" s="15" t="s">
        <v>1478</v>
      </c>
      <c r="I673" s="7" t="str">
        <f t="shared" si="26"/>
        <v>Metter5</v>
      </c>
      <c r="J673" s="7" t="str">
        <f t="shared" si="25"/>
        <v>Set_CurentT</v>
      </c>
      <c r="Q673" s="15" t="s">
        <v>1478</v>
      </c>
    </row>
    <row r="674" spans="2:17" x14ac:dyDescent="0.25">
      <c r="B674" s="15" t="s">
        <v>1461</v>
      </c>
      <c r="D674" s="1" t="s">
        <v>1479</v>
      </c>
      <c r="E674" s="15" t="s">
        <v>1476</v>
      </c>
      <c r="I674" s="7" t="str">
        <f t="shared" si="26"/>
        <v>Metter6</v>
      </c>
      <c r="J674" s="7" t="str">
        <f t="shared" si="25"/>
        <v>Set_CurentR</v>
      </c>
      <c r="Q674" s="15" t="s">
        <v>1476</v>
      </c>
    </row>
    <row r="675" spans="2:17" x14ac:dyDescent="0.25">
      <c r="B675" s="15" t="s">
        <v>1462</v>
      </c>
      <c r="D675" s="1" t="s">
        <v>1479</v>
      </c>
      <c r="E675" s="15" t="s">
        <v>1477</v>
      </c>
      <c r="I675" s="7" t="str">
        <f t="shared" si="26"/>
        <v>Metter6</v>
      </c>
      <c r="J675" s="7" t="str">
        <f t="shared" si="25"/>
        <v>Set_CurentS</v>
      </c>
      <c r="Q675" s="15" t="s">
        <v>1477</v>
      </c>
    </row>
    <row r="676" spans="2:17" x14ac:dyDescent="0.25">
      <c r="B676" s="15" t="s">
        <v>1463</v>
      </c>
      <c r="D676" s="1" t="s">
        <v>1479</v>
      </c>
      <c r="E676" s="15" t="s">
        <v>1478</v>
      </c>
      <c r="I676" s="7" t="str">
        <f t="shared" si="26"/>
        <v>Metter6</v>
      </c>
      <c r="J676" s="7" t="str">
        <f t="shared" si="25"/>
        <v>Set_CurentT</v>
      </c>
      <c r="Q676" s="15" t="s">
        <v>1478</v>
      </c>
    </row>
    <row r="677" spans="2:17" x14ac:dyDescent="0.25">
      <c r="B677" s="15" t="s">
        <v>1464</v>
      </c>
      <c r="D677" s="1" t="s">
        <v>1479</v>
      </c>
      <c r="E677" s="15" t="s">
        <v>1476</v>
      </c>
      <c r="I677" s="7" t="str">
        <f t="shared" si="26"/>
        <v>Metter7</v>
      </c>
      <c r="J677" s="7" t="str">
        <f t="shared" si="25"/>
        <v>Set_CurentR</v>
      </c>
      <c r="Q677" s="15" t="s">
        <v>1476</v>
      </c>
    </row>
    <row r="678" spans="2:17" x14ac:dyDescent="0.25">
      <c r="B678" s="15" t="s">
        <v>1465</v>
      </c>
      <c r="D678" s="1" t="s">
        <v>1479</v>
      </c>
      <c r="E678" s="15" t="s">
        <v>1477</v>
      </c>
      <c r="I678" s="7" t="str">
        <f t="shared" si="26"/>
        <v>Metter7</v>
      </c>
      <c r="J678" s="7" t="str">
        <f t="shared" si="25"/>
        <v>Set_CurentS</v>
      </c>
      <c r="Q678" s="15" t="s">
        <v>1477</v>
      </c>
    </row>
    <row r="679" spans="2:17" x14ac:dyDescent="0.25">
      <c r="B679" s="15" t="s">
        <v>1466</v>
      </c>
      <c r="D679" s="1" t="s">
        <v>1479</v>
      </c>
      <c r="E679" s="15" t="s">
        <v>1478</v>
      </c>
      <c r="I679" s="7" t="str">
        <f t="shared" si="26"/>
        <v>Metter7</v>
      </c>
      <c r="J679" s="7" t="str">
        <f t="shared" si="25"/>
        <v>Set_CurentT</v>
      </c>
      <c r="Q679" s="15" t="s">
        <v>1478</v>
      </c>
    </row>
    <row r="680" spans="2:17" x14ac:dyDescent="0.25">
      <c r="B680" s="15" t="s">
        <v>1467</v>
      </c>
      <c r="D680" s="1" t="s">
        <v>1479</v>
      </c>
      <c r="E680" s="15" t="s">
        <v>1476</v>
      </c>
      <c r="I680" s="7" t="str">
        <f t="shared" si="26"/>
        <v>Metter8</v>
      </c>
      <c r="J680" s="7" t="str">
        <f t="shared" si="25"/>
        <v>Set_CurentR</v>
      </c>
      <c r="Q680" s="15" t="s">
        <v>1476</v>
      </c>
    </row>
    <row r="681" spans="2:17" x14ac:dyDescent="0.25">
      <c r="B681" s="15" t="s">
        <v>1468</v>
      </c>
      <c r="D681" s="1" t="s">
        <v>1479</v>
      </c>
      <c r="E681" s="15" t="s">
        <v>1477</v>
      </c>
      <c r="I681" s="7" t="str">
        <f t="shared" si="26"/>
        <v>Metter8</v>
      </c>
      <c r="J681" s="7" t="str">
        <f t="shared" si="25"/>
        <v>Set_CurentS</v>
      </c>
      <c r="Q681" s="15" t="s">
        <v>1477</v>
      </c>
    </row>
    <row r="682" spans="2:17" x14ac:dyDescent="0.25">
      <c r="B682" s="15" t="s">
        <v>1469</v>
      </c>
      <c r="D682" s="1" t="s">
        <v>1479</v>
      </c>
      <c r="E682" s="15" t="s">
        <v>1478</v>
      </c>
      <c r="I682" s="7" t="str">
        <f t="shared" si="26"/>
        <v>Metter8</v>
      </c>
      <c r="J682" s="7" t="str">
        <f t="shared" si="25"/>
        <v>Set_CurentT</v>
      </c>
      <c r="Q682" s="15" t="s">
        <v>1478</v>
      </c>
    </row>
    <row r="683" spans="2:17" x14ac:dyDescent="0.25">
      <c r="B683" s="15" t="s">
        <v>1470</v>
      </c>
      <c r="D683" s="1" t="s">
        <v>1479</v>
      </c>
      <c r="E683" s="15" t="s">
        <v>1476</v>
      </c>
      <c r="I683" s="7" t="str">
        <f t="shared" si="26"/>
        <v>Metter9</v>
      </c>
      <c r="J683" s="7" t="str">
        <f t="shared" si="25"/>
        <v>Set_CurentR</v>
      </c>
      <c r="Q683" s="15" t="s">
        <v>1476</v>
      </c>
    </row>
    <row r="684" spans="2:17" x14ac:dyDescent="0.25">
      <c r="B684" s="15" t="s">
        <v>1471</v>
      </c>
      <c r="D684" s="1" t="s">
        <v>1479</v>
      </c>
      <c r="E684" s="15" t="s">
        <v>1477</v>
      </c>
      <c r="I684" s="7" t="str">
        <f t="shared" si="26"/>
        <v>Metter9</v>
      </c>
      <c r="J684" s="7" t="str">
        <f t="shared" si="25"/>
        <v>Set_CurentS</v>
      </c>
      <c r="Q684" s="15" t="s">
        <v>1477</v>
      </c>
    </row>
    <row r="685" spans="2:17" x14ac:dyDescent="0.25">
      <c r="B685" s="15" t="s">
        <v>1472</v>
      </c>
      <c r="D685" s="1" t="s">
        <v>1479</v>
      </c>
      <c r="E685" s="15" t="s">
        <v>1478</v>
      </c>
      <c r="I685" s="7" t="str">
        <f t="shared" si="26"/>
        <v>Metter9</v>
      </c>
      <c r="J685" s="7" t="str">
        <f t="shared" si="25"/>
        <v>Set_CurentT</v>
      </c>
      <c r="Q685" s="15" t="s">
        <v>1478</v>
      </c>
    </row>
    <row r="686" spans="2:17" x14ac:dyDescent="0.25">
      <c r="B686" s="15" t="s">
        <v>1473</v>
      </c>
      <c r="D686" s="1" t="s">
        <v>1479</v>
      </c>
      <c r="E686" s="15" t="s">
        <v>1476</v>
      </c>
      <c r="I686" s="7" t="str">
        <f t="shared" si="26"/>
        <v>Metter10</v>
      </c>
      <c r="J686" s="7" t="str">
        <f t="shared" si="25"/>
        <v>Set_CurentR</v>
      </c>
      <c r="Q686" s="15" t="s">
        <v>1476</v>
      </c>
    </row>
    <row r="687" spans="2:17" x14ac:dyDescent="0.25">
      <c r="B687" s="15" t="s">
        <v>1474</v>
      </c>
      <c r="D687" s="1" t="s">
        <v>1479</v>
      </c>
      <c r="E687" s="15" t="s">
        <v>1477</v>
      </c>
      <c r="I687" s="7" t="str">
        <f t="shared" si="26"/>
        <v>Metter10</v>
      </c>
      <c r="J687" s="7" t="str">
        <f t="shared" si="25"/>
        <v>Set_CurentS</v>
      </c>
      <c r="Q687" s="15" t="s">
        <v>1477</v>
      </c>
    </row>
    <row r="688" spans="2:17" x14ac:dyDescent="0.25">
      <c r="B688" s="15" t="s">
        <v>1475</v>
      </c>
      <c r="D688" s="1" t="s">
        <v>1479</v>
      </c>
      <c r="E688" s="15" t="s">
        <v>1478</v>
      </c>
      <c r="I688" s="7" t="str">
        <f t="shared" si="26"/>
        <v>Metter10</v>
      </c>
      <c r="J688" s="7" t="str">
        <f t="shared" si="25"/>
        <v>Set_CurentT</v>
      </c>
      <c r="Q688" s="15" t="s">
        <v>1478</v>
      </c>
    </row>
  </sheetData>
  <mergeCells count="21">
    <mergeCell ref="O505:O506"/>
    <mergeCell ref="O559:O560"/>
    <mergeCell ref="O561:O562"/>
    <mergeCell ref="O337:O338"/>
    <mergeCell ref="O391:O392"/>
    <mergeCell ref="O393:O394"/>
    <mergeCell ref="O447:O448"/>
    <mergeCell ref="O449:O450"/>
    <mergeCell ref="O503:O504"/>
    <mergeCell ref="O335:O336"/>
    <mergeCell ref="M2:P2"/>
    <mergeCell ref="O55:O56"/>
    <mergeCell ref="O57:O58"/>
    <mergeCell ref="O111:O112"/>
    <mergeCell ref="O113:O114"/>
    <mergeCell ref="O167:O168"/>
    <mergeCell ref="O169:O170"/>
    <mergeCell ref="O223:O224"/>
    <mergeCell ref="O225:O226"/>
    <mergeCell ref="O279:O280"/>
    <mergeCell ref="O281:O28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Danh Sách Thiết bị</vt:lpstr>
      <vt:lpstr>Sơ Đồ Công Nghệ</vt:lpstr>
      <vt:lpstr>Sơ đồ Nguyên lý</vt:lpstr>
      <vt:lpstr>Trạm Bơm Ấp Bắc</vt:lpstr>
      <vt:lpstr>Trung tâm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Văn Tùng Đinh</dc:creator>
  <cp:lastModifiedBy>Văn Tùng Đinh</cp:lastModifiedBy>
  <dcterms:created xsi:type="dcterms:W3CDTF">2026-07-21T04:33:03Z</dcterms:created>
  <dcterms:modified xsi:type="dcterms:W3CDTF">2026-09-21T17:09:37Z</dcterms:modified>
</cp:coreProperties>
</file>